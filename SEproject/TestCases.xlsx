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00\Downloads\AcademicProjectSystem_v2\AcademicProjectSystem\"/>
    </mc:Choice>
  </mc:AlternateContent>
  <xr:revisionPtr revIDLastSave="0" documentId="8_{CCB47771-A7B3-4D70-B869-0FFCCC6D1F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1" r:id="rId1"/>
    <sheet name="Test Case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E17" i="3"/>
  <c r="D17" i="3"/>
  <c r="B17" i="3"/>
  <c r="C10" i="1"/>
</calcChain>
</file>

<file path=xl/sharedStrings.xml><?xml version="1.0" encoding="utf-8"?>
<sst xmlns="http://schemas.openxmlformats.org/spreadsheetml/2006/main" count="727" uniqueCount="471">
  <si>
    <t>Academic Project System — Test Case Document</t>
  </si>
  <si>
    <t>Full Coverage Test Plan  |  v1.0</t>
  </si>
  <si>
    <t>Project</t>
  </si>
  <si>
    <t>Academic Project System (APS)</t>
  </si>
  <si>
    <t>Version</t>
  </si>
  <si>
    <t>1.0</t>
  </si>
  <si>
    <t>Prepared by</t>
  </si>
  <si>
    <t>QA Team</t>
  </si>
  <si>
    <t>Date</t>
  </si>
  <si>
    <t>2025-05-11</t>
  </si>
  <si>
    <t>Environment</t>
  </si>
  <si>
    <t>Windows / SQL Server Express / .NET 4.8</t>
  </si>
  <si>
    <t>Total TCs</t>
  </si>
  <si>
    <t>Priority Legend</t>
  </si>
  <si>
    <t>High</t>
  </si>
  <si>
    <t>Medium</t>
  </si>
  <si>
    <t>Low</t>
  </si>
  <si>
    <t>Status Legend</t>
  </si>
  <si>
    <t>Pass</t>
  </si>
  <si>
    <t>Fail</t>
  </si>
  <si>
    <t>Pending</t>
  </si>
  <si>
    <t>Blocked</t>
  </si>
  <si>
    <t>Academic Project System — Test Cases</t>
  </si>
  <si>
    <t>TC ID</t>
  </si>
  <si>
    <t>Module</t>
  </si>
  <si>
    <t>Test Case Name</t>
  </si>
  <si>
    <t>Preconditions</t>
  </si>
  <si>
    <t>Test Steps</t>
  </si>
  <si>
    <t>Test Data</t>
  </si>
  <si>
    <t>Expected Result</t>
  </si>
  <si>
    <t>Actual Result</t>
  </si>
  <si>
    <t>Priority</t>
  </si>
  <si>
    <t>Status</t>
  </si>
  <si>
    <t>TC-001</t>
  </si>
  <si>
    <t>Splash Screen</t>
  </si>
  <si>
    <t>Splash screen displays on startup</t>
  </si>
  <si>
    <t>Application is not running</t>
  </si>
  <si>
    <t>1. Launch the application</t>
  </si>
  <si>
    <t>N/A</t>
  </si>
  <si>
    <t>Splash screen appears with title, progress bar animating from 0→100%, loading messages change, screen closes automatically</t>
  </si>
  <si>
    <t>TC-002</t>
  </si>
  <si>
    <t>Progress bar completes and transitions to Login</t>
  </si>
  <si>
    <t>Application launched</t>
  </si>
  <si>
    <t>1. Observe splash screen
2. Wait for progress bar to reach 100%</t>
  </si>
  <si>
    <t>After reaching 100%, splash closes and Login form appears</t>
  </si>
  <si>
    <t>TC-003</t>
  </si>
  <si>
    <t>Login</t>
  </si>
  <si>
    <t>Admin login with valid credentials</t>
  </si>
  <si>
    <t>App running, admin user exists in DB</t>
  </si>
  <si>
    <t>1. Select Role: Admin
2. Enter Username: admin
3. Enter Password: admin123
4. Click SIGN IN</t>
  </si>
  <si>
    <t>Username: admin
Password: admin123
Role: Admin</t>
  </si>
  <si>
    <t>Login succeeds, Main Dashboard opens showing admin's full name and role in top bar</t>
  </si>
  <si>
    <t>TC-004</t>
  </si>
  <si>
    <t>Student login with valid credentials</t>
  </si>
  <si>
    <t>App running, student users inserted via SQL</t>
  </si>
  <si>
    <t>1. Select Role: Student
2. Enter Username: donia
3. Enter Password: 123456
4. Click SIGN IN</t>
  </si>
  <si>
    <t>Username: donia
Password: 123456
Role: Student</t>
  </si>
  <si>
    <t>Login succeeds, Dashboard opens with Donia's name displayed</t>
  </si>
  <si>
    <t>TC-005</t>
  </si>
  <si>
    <t>Login with wrong password</t>
  </si>
  <si>
    <t>App running</t>
  </si>
  <si>
    <t>1. Select Role: Admin
2. Enter Username: admin
3. Enter Password: wrongpass
4. Click SIGN IN</t>
  </si>
  <si>
    <t>Username: admin
Password: wrongpass</t>
  </si>
  <si>
    <t>Error message: 'Invalid credentials or role. Please try again.' Login is rejected</t>
  </si>
  <si>
    <t>TC-006</t>
  </si>
  <si>
    <t>Login with wrong role</t>
  </si>
  <si>
    <t>1. Select Role: Supervisor
2. Enter Username: admin
3. Enter Password: admin123
4. Click SIGN IN</t>
  </si>
  <si>
    <t>Username: admin
Password: admin123
Role: Supervisor (wrong)</t>
  </si>
  <si>
    <t>Error message shown. Login rejected because role doesn't match DB record</t>
  </si>
  <si>
    <t>TC-007</t>
  </si>
  <si>
    <t>Login with empty username</t>
  </si>
  <si>
    <t>1. Select any role
2. Leave Username blank
3. Enter any password
4. Click SIGN IN</t>
  </si>
  <si>
    <t>Username: (empty)
Password: admin123</t>
  </si>
  <si>
    <t>Error message: 'Please enter username and password.' No DB query made</t>
  </si>
  <si>
    <t>TC-008</t>
  </si>
  <si>
    <t>Login with empty password</t>
  </si>
  <si>
    <t>1. Select any role
2. Enter username
3. Leave Password blank
4. Click SIGN IN</t>
  </si>
  <si>
    <t>Username: admin
Password: (empty)</t>
  </si>
  <si>
    <t>Error message: 'Please enter username and password.'</t>
  </si>
  <si>
    <t>TC-009</t>
  </si>
  <si>
    <t>Show/hide password toggle</t>
  </si>
  <si>
    <t>Login form is open</t>
  </si>
  <si>
    <t>1. Enter a password
2. Check 'Show password' checkbox
3. Uncheck it</t>
  </si>
  <si>
    <t>Password: admin123</t>
  </si>
  <si>
    <t>Password visible as plain text when checked, masked with ● when unchecked</t>
  </si>
  <si>
    <t>TC-010</t>
  </si>
  <si>
    <t>Press Enter key to submit login</t>
  </si>
  <si>
    <t>Login form open</t>
  </si>
  <si>
    <t>1. Fill in valid credentials
2. Press Enter key</t>
  </si>
  <si>
    <t>Login submits and dashboard opens (same as clicking SIGN IN)</t>
  </si>
  <si>
    <t>TC-011</t>
  </si>
  <si>
    <t>Dashboard</t>
  </si>
  <si>
    <t>Dashboard loads after login</t>
  </si>
  <si>
    <t>Valid login completed</t>
  </si>
  <si>
    <t>1. Login as Admin
2. Observe dashboard</t>
  </si>
  <si>
    <t>Role: Admin</t>
  </si>
  <si>
    <t>Dashboard shows: sidebar with all nav items, top bar with user name and role, Welcome panel with stat cards</t>
  </si>
  <si>
    <t>TC-012</t>
  </si>
  <si>
    <t>Stat cards show correct counts</t>
  </si>
  <si>
    <t>Logged in as Admin, students and projects exist in DB</t>
  </si>
  <si>
    <t>1. Login as Admin
2. View Welcome panel stat cards</t>
  </si>
  <si>
    <t>5 students, 0 projects initially</t>
  </si>
  <si>
    <t>Students card shows 5, Projects/Teams/Tasks cards show correct DB counts</t>
  </si>
  <si>
    <t>TC-013</t>
  </si>
  <si>
    <t>Sidebar navigation loads correct panels</t>
  </si>
  <si>
    <t>Logged in as Admin</t>
  </si>
  <si>
    <t>1. Click each sidebar button one by one
2. Observe content area</t>
  </si>
  <si>
    <t>Each click loads the corresponding form in the content area without opening a new window</t>
  </si>
  <si>
    <t>TC-014</t>
  </si>
  <si>
    <t>Active sidebar button highlights correctly</t>
  </si>
  <si>
    <t>1. Click 'Students' in sidebar
2. Click 'Projects'
3. Click 'Tasks'</t>
  </si>
  <si>
    <t>Clicked button turns blue (accent), previous button reverts to dark background</t>
  </si>
  <si>
    <t>TC-015</t>
  </si>
  <si>
    <t>User Management hidden for non-Admin roles</t>
  </si>
  <si>
    <t>Logged in as Student</t>
  </si>
  <si>
    <t>1. Login as Student (donia/123456)
2. Check sidebar</t>
  </si>
  <si>
    <t>Role: Student</t>
  </si>
  <si>
    <t>Users menu item is NOT visible in the sidebar</t>
  </si>
  <si>
    <t>TC-016</t>
  </si>
  <si>
    <t>User Management</t>
  </si>
  <si>
    <t>Add new Supervisor user</t>
  </si>
  <si>
    <t>Logged in as Admin, on User Management panel</t>
  </si>
  <si>
    <t>1. Click 'New'
2. Fill Full Name: Dr. Ahmed
3. Username: ahmed
4. Password: pass123
5. Email: ahmed@uni.com
6. Role: Supervisor
7. Click Save</t>
  </si>
  <si>
    <t>FullName: Dr. Ahmed
Username: ahmed
Password: pass123
Role: Supervisor</t>
  </si>
  <si>
    <t>New user appears in grid. Record saved to DB. Can login as Supervisor</t>
  </si>
  <si>
    <t>TC-017</t>
  </si>
  <si>
    <t>Edit existing user</t>
  </si>
  <si>
    <t>User 'ahmed' exists</t>
  </si>
  <si>
    <t>1. Click on ahmed in grid
2. Change Email to newemail@uni.com
3. Click Save</t>
  </si>
  <si>
    <t>New Email: newemail@uni.com</t>
  </si>
  <si>
    <t>Grid updates with new email. DB record updated</t>
  </si>
  <si>
    <t>TC-018</t>
  </si>
  <si>
    <t>Delete a user</t>
  </si>
  <si>
    <t>A non-critical user exists (e.g. test user)</t>
  </si>
  <si>
    <t>1. Select user in grid
2. Click Delete
3. Confirm dialog</t>
  </si>
  <si>
    <t>Any deletable user</t>
  </si>
  <si>
    <t>User removed from grid and DB</t>
  </si>
  <si>
    <t>TC-019</t>
  </si>
  <si>
    <t>Save user without username fails</t>
  </si>
  <si>
    <t>On User Management panel</t>
  </si>
  <si>
    <t>1. Click New
2. Fill Full Name only
3. Leave Username blank
4. Click Save</t>
  </si>
  <si>
    <t>FullName: Test
Username: (empty)</t>
  </si>
  <si>
    <t>Error shown: 'Username and Full Name are required.' No DB insert</t>
  </si>
  <si>
    <t>TC-020</t>
  </si>
  <si>
    <t>Deactivate a user (IsActive = false)</t>
  </si>
  <si>
    <t>User exists</t>
  </si>
  <si>
    <t>1. Select user
2. Uncheck 'Active' checkbox
3. Click Save</t>
  </si>
  <si>
    <t>IsActive: unchecked</t>
  </si>
  <si>
    <t>User record updated, deactivated user cannot login</t>
  </si>
  <si>
    <t>TC-021</t>
  </si>
  <si>
    <t>Students</t>
  </si>
  <si>
    <t>View all students in grid</t>
  </si>
  <si>
    <t>Logged in, 5 students inserted via SQL</t>
  </si>
  <si>
    <t>1. Click Students in sidebar</t>
  </si>
  <si>
    <t>Grid shows all 5 students: Menna, Donia, Martina, Malak, Julia with their codes and department</t>
  </si>
  <si>
    <t>TC-022</t>
  </si>
  <si>
    <t>Add a new student</t>
  </si>
  <si>
    <t>A Student-role user exists without a Student profile</t>
  </si>
  <si>
    <t>1. Select user from dropdown
2. Enter Code: STU-006
3. Department: IT
4. Year: 2
5. GPA: 3.50
6. Click Save</t>
  </si>
  <si>
    <t>Code: STU-006
Dept: IT
Year: 2
GPA: 3.50</t>
  </si>
  <si>
    <t>New student appears in grid</t>
  </si>
  <si>
    <t>TC-023</t>
  </si>
  <si>
    <t>Edit student GPA</t>
  </si>
  <si>
    <t>Student exists in grid</t>
  </si>
  <si>
    <t>1. Click on a student row
2. Change GPA to 3.75
3. Click Save</t>
  </si>
  <si>
    <t>GPA: 3.75</t>
  </si>
  <si>
    <t>Grid updates with new GPA value</t>
  </si>
  <si>
    <t>TC-024</t>
  </si>
  <si>
    <t>Delete a student</t>
  </si>
  <si>
    <t>Student exists and has no dependencies</t>
  </si>
  <si>
    <t>1. Select student
2. Click Delete
3. Confirm</t>
  </si>
  <si>
    <t>Student removed from grid and DB</t>
  </si>
  <si>
    <t>TC-025</t>
  </si>
  <si>
    <t>Teams</t>
  </si>
  <si>
    <t>Create a new team</t>
  </si>
  <si>
    <t>Supervisor user exists</t>
  </si>
  <si>
    <t>1. Click Teams
2. Click New
3. Team Name: Team Alpha
4. Select Supervisor: Dr. Ahmed
5. Click Save</t>
  </si>
  <si>
    <t>TeamName: Team Alpha
Supervisor: Dr. Ahmed</t>
  </si>
  <si>
    <t>Team saved and appears in grid</t>
  </si>
  <si>
    <t>TC-026</t>
  </si>
  <si>
    <t>Add student member to team</t>
  </si>
  <si>
    <t>Team Alpha exists, students exist</t>
  </si>
  <si>
    <t>1. Click Team Alpha in grid
2. Select Menna from student dropdown
3. Click 'Add →'</t>
  </si>
  <si>
    <t>Student: Menna</t>
  </si>
  <si>
    <t>Menna appears in Members list box</t>
  </si>
  <si>
    <t>TC-027</t>
  </si>
  <si>
    <t>Add all 5 students to team</t>
  </si>
  <si>
    <t>Team Alpha exists</t>
  </si>
  <si>
    <t>1. Repeat Add for Menna, Donia, Martina, Malak, Julia</t>
  </si>
  <si>
    <t>Students: Menna, Donia, Martina, Malak, Julia</t>
  </si>
  <si>
    <t>All 5 names appear in Members list</t>
  </si>
  <si>
    <t>TC-028</t>
  </si>
  <si>
    <t>Remove a student from team</t>
  </si>
  <si>
    <t>Team has members</t>
  </si>
  <si>
    <t>1. Select a member in the list
2. Click Remove</t>
  </si>
  <si>
    <t>Member: Menna</t>
  </si>
  <si>
    <t>Member removed from list and TeamMembers table in DB</t>
  </si>
  <si>
    <t>TC-029</t>
  </si>
  <si>
    <t>Prevent adding same student twice</t>
  </si>
  <si>
    <t>Donia already in Team Alpha</t>
  </si>
  <si>
    <t>1. Select Donia from dropdown
2. Click Add →</t>
  </si>
  <si>
    <t>Student: Donia (already member)</t>
  </si>
  <si>
    <t>No duplicate added. Member list unchanged</t>
  </si>
  <si>
    <t>TC-030</t>
  </si>
  <si>
    <t>Delete a team</t>
  </si>
  <si>
    <t>Team with no project dependency exists</t>
  </si>
  <si>
    <t>1. Select team
2. Click Delete
3. Confirm</t>
  </si>
  <si>
    <t>Team and its TeamMembers records deleted</t>
  </si>
  <si>
    <t>TC-031</t>
  </si>
  <si>
    <t>Categories</t>
  </si>
  <si>
    <t>Add project category</t>
  </si>
  <si>
    <t>1. Click Categories
2. Click New
3. Name: Web Development
4. Description: Web apps and portals
5. Click Save</t>
  </si>
  <si>
    <t>Name: Web Development</t>
  </si>
  <si>
    <t>Category appears in grid</t>
  </si>
  <si>
    <t>TC-032</t>
  </si>
  <si>
    <t>Add second category</t>
  </si>
  <si>
    <t>At least one category exists</t>
  </si>
  <si>
    <t>1. Click New
2. Name: Mobile App
3. Click Save</t>
  </si>
  <si>
    <t>Name: Mobile App</t>
  </si>
  <si>
    <t>Both categories visible in grid</t>
  </si>
  <si>
    <t>TC-033</t>
  </si>
  <si>
    <t>Edit category description</t>
  </si>
  <si>
    <t>Category exists</t>
  </si>
  <si>
    <t>1. Click category in grid
2. Change description
3. Click Save</t>
  </si>
  <si>
    <t>New description text</t>
  </si>
  <si>
    <t>Description updated in grid and DB</t>
  </si>
  <si>
    <t>TC-034</t>
  </si>
  <si>
    <t>Delete a category</t>
  </si>
  <si>
    <t>Category has no linked projects</t>
  </si>
  <si>
    <t>1. Select category
2. Click Delete
3. Confirm</t>
  </si>
  <si>
    <t>Category removed from grid</t>
  </si>
  <si>
    <t>TC-035</t>
  </si>
  <si>
    <t>Projects</t>
  </si>
  <si>
    <t>Add a new project</t>
  </si>
  <si>
    <t>Category, Supervisor, Team all exist</t>
  </si>
  <si>
    <t>1. Click Projects
2. Click New
3. Title: Hospital Management System
4. Category: Web Development
5. Supervisor: Dr. Ahmed
6. Team: Team Alpha
7. Status: In Progress
8. Deadline: 2025-08-01
9. Click Save</t>
  </si>
  <si>
    <t>Title: Hospital Management System
Status: In Progress
Deadline: 2025-08-01</t>
  </si>
  <si>
    <t>Project appears in grid with all fields populated</t>
  </si>
  <si>
    <t>TC-036</t>
  </si>
  <si>
    <t>Project appears on dashboard welcome panel</t>
  </si>
  <si>
    <t>Project was just added</t>
  </si>
  <si>
    <t>1. Click Dashboard home button</t>
  </si>
  <si>
    <t>Project appears in 'Recent Projects' grid on welcome panel</t>
  </si>
  <si>
    <t>TC-037</t>
  </si>
  <si>
    <t>Edit project status to Completed</t>
  </si>
  <si>
    <t>Project exists</t>
  </si>
  <si>
    <t>1. Click project in grid
2. Change Status to Completed
3. Click Save</t>
  </si>
  <si>
    <t>Status: Completed</t>
  </si>
  <si>
    <t>Grid shows updated status 'Completed'</t>
  </si>
  <si>
    <t>TC-038</t>
  </si>
  <si>
    <t>Edit project status to Not Started</t>
  </si>
  <si>
    <t>1. Click project
2. Change Status to Not Started
3. Save</t>
  </si>
  <si>
    <t>Status: Not Started</t>
  </si>
  <si>
    <t>Status updated correctly</t>
  </si>
  <si>
    <t>TC-039</t>
  </si>
  <si>
    <t>Add project without title fails</t>
  </si>
  <si>
    <t>On Projects panel</t>
  </si>
  <si>
    <t>1. Click New
2. Leave Title empty
3. Click Save</t>
  </si>
  <si>
    <t>Title: (empty)</t>
  </si>
  <si>
    <t>Error: 'Title required.' No DB insert</t>
  </si>
  <si>
    <t>TC-040</t>
  </si>
  <si>
    <t>Delete a project</t>
  </si>
  <si>
    <t>Project has no tasks</t>
  </si>
  <si>
    <t>1. Select project
2. Click Delete
3. Confirm</t>
  </si>
  <si>
    <t>Project removed from grid and DB</t>
  </si>
  <si>
    <t>TC-041</t>
  </si>
  <si>
    <t>Tasks</t>
  </si>
  <si>
    <t>Add a task and assign to student</t>
  </si>
  <si>
    <t>Project exists, Student exists</t>
  </si>
  <si>
    <t>1. Click Tasks
2. Click New
3. Title: Design Database Schema
4. Project: Hospital Management System
5. Assign To: Donia
6. Status: Pending
7. Due Date: 2025-07-01
8. Click Save</t>
  </si>
  <si>
    <t>Title: Design Database Schema
Assigned: Donia
Due: 2025-07-01</t>
  </si>
  <si>
    <t>Task appears in grid with correct assignment</t>
  </si>
  <si>
    <t>TC-042</t>
  </si>
  <si>
    <t>Update task status to In Progress</t>
  </si>
  <si>
    <t>Task exists</t>
  </si>
  <si>
    <t>1. Click task in grid
2. Change Status to In Progress
3. Save</t>
  </si>
  <si>
    <t>Status: In Progress</t>
  </si>
  <si>
    <t>Status updated in grid</t>
  </si>
  <si>
    <t>TC-043</t>
  </si>
  <si>
    <t>Update task status to Done</t>
  </si>
  <si>
    <t>Task is In Progress</t>
  </si>
  <si>
    <t>1. Click task
2. Change Status to Done
3. Save</t>
  </si>
  <si>
    <t>Status: Done</t>
  </si>
  <si>
    <t>Task marked Done in grid</t>
  </si>
  <si>
    <t>TC-044</t>
  </si>
  <si>
    <t>Assign multiple tasks to different students</t>
  </si>
  <si>
    <t>5 students and 1 project exist</t>
  </si>
  <si>
    <t>1. Add task for Menna
2. Add task for Martina
3. Add task for Malak</t>
  </si>
  <si>
    <t>3 different students, same project</t>
  </si>
  <si>
    <t>3 tasks appear in grid with correct student assignments</t>
  </si>
  <si>
    <t>TC-045</t>
  </si>
  <si>
    <t>Add task without title fails</t>
  </si>
  <si>
    <t>On Tasks panel</t>
  </si>
  <si>
    <t>1. Click New
2. Leave title empty
3. Save</t>
  </si>
  <si>
    <t>Error shown. No insert.</t>
  </si>
  <si>
    <t>TC-046</t>
  </si>
  <si>
    <t>Delete a task</t>
  </si>
  <si>
    <t>Task has no submissions</t>
  </si>
  <si>
    <t>1. Select task
2. Delete
3. Confirm</t>
  </si>
  <si>
    <t>Task removed</t>
  </si>
  <si>
    <t>TC-047</t>
  </si>
  <si>
    <t>Submissions</t>
  </si>
  <si>
    <t>Submit a file for a task</t>
  </si>
  <si>
    <t>Task exists, student exists</t>
  </si>
  <si>
    <t>1. Click Submissions
2. Select Task: Design Database Schema
3. Student: Donia
4. Click Browse → select any file
5. Add Notes: First draft
6. Click Save</t>
  </si>
  <si>
    <t>Task: Design Database Schema
Student: Donia
File: any .pdf or .docx</t>
  </si>
  <si>
    <t>Submission record appears in grid with file path and timestamp</t>
  </si>
  <si>
    <t>TC-048</t>
  </si>
  <si>
    <t>Submit without selecting task/student fails</t>
  </si>
  <si>
    <t>On Submissions panel</t>
  </si>
  <si>
    <t>1. Leave Task and Student unselected
2. Click Save</t>
  </si>
  <si>
    <t>Task: (none)
Student: (none)</t>
  </si>
  <si>
    <t>Error: 'Select task and student.'</t>
  </si>
  <si>
    <t>TC-049</t>
  </si>
  <si>
    <t>Browse file dialog opens</t>
  </si>
  <si>
    <t>1. Click Browse button</t>
  </si>
  <si>
    <t>System file browser dialog opens</t>
  </si>
  <si>
    <t>TC-050</t>
  </si>
  <si>
    <t>Delete a submission</t>
  </si>
  <si>
    <t>Submission exists with no evaluation</t>
  </si>
  <si>
    <t>1. Select submission
2. Click Delete
3. Confirm</t>
  </si>
  <si>
    <t>Submission removed from grid</t>
  </si>
  <si>
    <t>TC-051</t>
  </si>
  <si>
    <t>Evaluations</t>
  </si>
  <si>
    <t>Supervisor grades a submission</t>
  </si>
  <si>
    <t>Submission exists, logged in as Admin or Supervisor</t>
  </si>
  <si>
    <t>1. Click Evaluations
2. Select submission from dropdown
3. Grade: 85
4. Feedback: Good work on the schema design
5. Click Save</t>
  </si>
  <si>
    <t>Grade: 85
Feedback: Good work on the schema design</t>
  </si>
  <si>
    <t>Evaluation record saved, appears in grid with grade and feedback</t>
  </si>
  <si>
    <t>TC-052</t>
  </si>
  <si>
    <t>Enter grade above 100 fails</t>
  </si>
  <si>
    <t>On Evaluations panel</t>
  </si>
  <si>
    <t>1. Select submission
2. Enter Grade: 110
3. Click Save</t>
  </si>
  <si>
    <t>Grade: 110</t>
  </si>
  <si>
    <t>Error: 'Enter a valid grade (0-100).'</t>
  </si>
  <si>
    <t>TC-053</t>
  </si>
  <si>
    <t>Enter negative grade fails</t>
  </si>
  <si>
    <t>1. Select submission
2. Enter Grade: -5
3. Click Save</t>
  </si>
  <si>
    <t>Grade: -5</t>
  </si>
  <si>
    <t>TC-054</t>
  </si>
  <si>
    <t>Enter non-numeric grade fails</t>
  </si>
  <si>
    <t>1. Select submission
2. Enter Grade: abc
3. Click Save</t>
  </si>
  <si>
    <t>Grade: abc</t>
  </si>
  <si>
    <t>TC-055</t>
  </si>
  <si>
    <t>Delete an evaluation</t>
  </si>
  <si>
    <t>Evaluation exists</t>
  </si>
  <si>
    <t>1. Select evaluation
2. Click Delete
3. Confirm</t>
  </si>
  <si>
    <t>Evaluation removed from grid</t>
  </si>
  <si>
    <t>TC-056</t>
  </si>
  <si>
    <t>Reports</t>
  </si>
  <si>
    <t>Project Status Summary report</t>
  </si>
  <si>
    <t>At least 1 project exists with a status</t>
  </si>
  <si>
    <t>1. Click Reports
2. Select 'Project Status Summary'
3. Click ▶ Run</t>
  </si>
  <si>
    <t>Grid shows statuses (Not Started / In Progress / Completed) with count per status</t>
  </si>
  <si>
    <t>TC-057</t>
  </si>
  <si>
    <t>Student Submission Count report</t>
  </si>
  <si>
    <t>Submissions exist</t>
  </si>
  <si>
    <t>1. Select 'Student Submission Count'
2. Click ▶ Run</t>
  </si>
  <si>
    <t>Grid shows each student and their submission count, sorted descending</t>
  </si>
  <si>
    <t>TC-058</t>
  </si>
  <si>
    <t>Average Grade per Project report</t>
  </si>
  <si>
    <t>Evaluations exist</t>
  </si>
  <si>
    <t>1. Select 'Average Grade per Project'
2. Click ▶ Run</t>
  </si>
  <si>
    <t>Grid shows project names with average grade, sorted descending</t>
  </si>
  <si>
    <t>TC-059</t>
  </si>
  <si>
    <t>Overdue Tasks report</t>
  </si>
  <si>
    <t>At least one task with past due date and status != Done</t>
  </si>
  <si>
    <t>1. Select 'Overdue Tasks'
2. Click ▶ Run</t>
  </si>
  <si>
    <t>Grid shows overdue tasks with task name, project, due date</t>
  </si>
  <si>
    <t>TC-060</t>
  </si>
  <si>
    <t>Teams and Member Count report</t>
  </si>
  <si>
    <t>Teams with members exist</t>
  </si>
  <si>
    <t>1. Select 'Teams &amp; Member Count'
2. Click ▶ Run</t>
  </si>
  <si>
    <t>Grid shows team names with member count</t>
  </si>
  <si>
    <t>TC-061</t>
  </si>
  <si>
    <t>Logout</t>
  </si>
  <si>
    <t>Logout returns to Login screen</t>
  </si>
  <si>
    <t>Logged in as any role</t>
  </si>
  <si>
    <t>1. Click Logout in sidebar
2. Click Yes on confirmation dialog</t>
  </si>
  <si>
    <t>Dashboard closes, Login form reappears with cleared fields</t>
  </si>
  <si>
    <t>TC-062</t>
  </si>
  <si>
    <t>Cancel logout stays on dashboard</t>
  </si>
  <si>
    <t>Logged in</t>
  </si>
  <si>
    <t>1. Click Logout
2. Click No on confirmation dialog</t>
  </si>
  <si>
    <t>Dialog closes, dashboard remains open with session intact</t>
  </si>
  <si>
    <t>TC-063</t>
  </si>
  <si>
    <t>Session cleared after logout</t>
  </si>
  <si>
    <t>Just logged out</t>
  </si>
  <si>
    <t>1. After logout, try to navigate back to dashboard</t>
  </si>
  <si>
    <t>Dashboard is not accessible; Login form is shown instead</t>
  </si>
  <si>
    <t>TC-064</t>
  </si>
  <si>
    <t>Re-login after logout works</t>
  </si>
  <si>
    <t>1. After logout, login again with valid credentials</t>
  </si>
  <si>
    <t>Username: admin
Password: admin123</t>
  </si>
  <si>
    <t>Login succeeds, new session starts, dashboard loads correctly</t>
  </si>
  <si>
    <t>TC-065</t>
  </si>
  <si>
    <t>Database</t>
  </si>
  <si>
    <t>All 9 tables created on first launch</t>
  </si>
  <si>
    <t>Fresh database (AcademicProjectDB created but empty)</t>
  </si>
  <si>
    <t>1. Launch application for the first time</t>
  </si>
  <si>
    <t>Tables Users, Students, Teams, TeamMembers, ProjectCategories, Projects, Tasks, Submissions, Evaluations all exist in DB</t>
  </si>
  <si>
    <t>TC-066</t>
  </si>
  <si>
    <t>Foreign key constraint prevents orphan task</t>
  </si>
  <si>
    <t>Attempting to insert task with invalid ProjectID</t>
  </si>
  <si>
    <t>1. In SSMS run: INSERT INTO Tasks(ProjectID,Title) VALUES(9999,'Test')</t>
  </si>
  <si>
    <t>ProjectID: 9999 (does not exist)</t>
  </si>
  <si>
    <t>SQL error: foreign key constraint violated. Row not inserted</t>
  </si>
  <si>
    <t>TC-067</t>
  </si>
  <si>
    <t>Duplicate username rejected</t>
  </si>
  <si>
    <t>User 'admin' exists</t>
  </si>
  <si>
    <t>1. In SSMS run: INSERT INTO Users(Username,PasswordHash,FullName,Role) VALUES('admin','hash','Test','Admin')</t>
  </si>
  <si>
    <t>Username: admin (duplicate)</t>
  </si>
  <si>
    <t>SQL error: UNIQUE constraint violated</t>
  </si>
  <si>
    <t>Test Execution Summary</t>
  </si>
  <si>
    <t>TOTAL</t>
  </si>
  <si>
    <t>Notes:</t>
  </si>
  <si>
    <t>• Update Pass/Fail/Pending counts manually as tests are executed</t>
  </si>
  <si>
    <t>• Change Status column in 'Test Cases' sheet for each test</t>
  </si>
  <si>
    <t>Splash screen appears with title, progress bar animating 0→100%, loading messages change, screen closes automatically</t>
  </si>
  <si>
    <t>Login succeeds, Main Dashboard opens showing admin full name and role</t>
  </si>
  <si>
    <t>Error message: Invalid credentials or role. Login rejected</t>
  </si>
  <si>
    <t>Error shown, role mismatch login rejected</t>
  </si>
  <si>
    <t>Error: Please enter username and password</t>
  </si>
  <si>
    <t>Password visible when checked, masked when unchecked</t>
  </si>
  <si>
    <t>Login submits and dashboard opens</t>
  </si>
  <si>
    <t>Dashboard shows sidebar, top bar, welcome panel</t>
  </si>
  <si>
    <t>Cards show correct DB counts</t>
  </si>
  <si>
    <t>Forms load in content area without new window</t>
  </si>
  <si>
    <t>Active button highlighted correctly</t>
  </si>
  <si>
    <t>Users menu not visible</t>
  </si>
  <si>
    <t>User saved and appears in grid</t>
  </si>
  <si>
    <t>Email updated in DB and grid</t>
  </si>
  <si>
    <t>User removed from DB and grid</t>
  </si>
  <si>
    <t>Error: required fields missing</t>
  </si>
  <si>
    <t>User cannot login</t>
  </si>
  <si>
    <t>All students displayed</t>
  </si>
  <si>
    <t>Student appears in grid</t>
  </si>
  <si>
    <t>Updated in DB</t>
  </si>
  <si>
    <t>Removed from system</t>
  </si>
  <si>
    <t>Team saved</t>
  </si>
  <si>
    <t>Member added</t>
  </si>
  <si>
    <t>All members added</t>
  </si>
  <si>
    <t>Member removed</t>
  </si>
  <si>
    <t>No duplicate added</t>
  </si>
  <si>
    <t>Team removed</t>
  </si>
  <si>
    <t>Category saved</t>
  </si>
  <si>
    <t>Both visible</t>
  </si>
  <si>
    <t>Updated</t>
  </si>
  <si>
    <t>Removed</t>
  </si>
  <si>
    <t>Project appears in grid</t>
  </si>
  <si>
    <t>Shown in recent projects</t>
  </si>
  <si>
    <t>Status updated</t>
  </si>
  <si>
    <t>Error: title required</t>
  </si>
  <si>
    <t>Task assigned</t>
  </si>
  <si>
    <t>All tasks assigned</t>
  </si>
  <si>
    <t>Error shown</t>
  </si>
  <si>
    <t>Submission saved</t>
  </si>
  <si>
    <t>File dialog opens</t>
  </si>
  <si>
    <t>Evaluation saved</t>
  </si>
  <si>
    <t>Counts per status shown</t>
  </si>
  <si>
    <t>Students ranked by submissions</t>
  </si>
  <si>
    <t>Avg grade per project shown</t>
  </si>
  <si>
    <t>Overdue tasks listed</t>
  </si>
  <si>
    <t>Teams with counts shown</t>
  </si>
  <si>
    <t>Login form appears</t>
  </si>
  <si>
    <t>Dashboard remains</t>
  </si>
  <si>
    <t>Login required</t>
  </si>
  <si>
    <t>Login successful</t>
  </si>
  <si>
    <t>All tables exist</t>
  </si>
  <si>
    <t>Error constraint</t>
  </si>
  <si>
    <t>Unique constraint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</si>
</sst>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sz val="13"/>
      <color rgb="FF00A0E6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12121E"/>
      <name val="Arial"/>
    </font>
    <font>
      <b/>
      <sz val="9"/>
      <color rgb="FFFFFFFF"/>
      <name val="Arial"/>
    </font>
    <font>
      <b/>
      <sz val="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1E3A5F"/>
      <name val="Arial"/>
    </font>
    <font>
      <b/>
      <sz val="14"/>
      <color rgb="FFFFFFFF"/>
      <name val="Arial"/>
    </font>
    <font>
      <b/>
      <sz val="9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2121E"/>
      </patternFill>
    </fill>
    <fill>
      <patternFill patternType="solid">
        <fgColor rgb="FF1E3A5F"/>
      </patternFill>
    </fill>
    <fill>
      <patternFill patternType="solid">
        <fgColor rgb="FFF0F3F8"/>
      </patternFill>
    </fill>
    <fill>
      <patternFill patternType="solid">
        <fgColor rgb="FFFF4C4C"/>
      </patternFill>
    </fill>
    <fill>
      <patternFill patternType="solid">
        <fgColor rgb="FFFFA500"/>
      </patternFill>
    </fill>
    <fill>
      <patternFill patternType="solid">
        <fgColor rgb="FF4CAF5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D6E4F0"/>
      </patternFill>
    </fill>
    <fill>
      <patternFill patternType="solid">
        <fgColor rgb="FFE8F0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0" borderId="0" xfId="0" applyFont="1"/>
    <xf numFmtId="0" fontId="10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opLeftCell="A9" workbookViewId="0">
      <selection activeCell="B17" sqref="B17"/>
    </sheetView>
  </sheetViews>
  <sheetFormatPr defaultRowHeight="14.5" x14ac:dyDescent="0.35"/>
  <cols>
    <col min="1" max="8" width="18" customWidth="1"/>
  </cols>
  <sheetData>
    <row r="1" spans="1:8" ht="8" customHeight="1" x14ac:dyDescent="0.35"/>
    <row r="2" spans="1:8" ht="80" customHeight="1" x14ac:dyDescent="0.35">
      <c r="A2" s="29" t="s">
        <v>0</v>
      </c>
      <c r="B2" s="27"/>
      <c r="C2" s="27"/>
      <c r="D2" s="27"/>
      <c r="E2" s="27"/>
      <c r="F2" s="27"/>
      <c r="G2" s="27"/>
      <c r="H2" s="27"/>
    </row>
    <row r="3" spans="1:8" ht="40" customHeight="1" x14ac:dyDescent="0.35">
      <c r="A3" s="26" t="s">
        <v>1</v>
      </c>
      <c r="B3" s="27"/>
      <c r="C3" s="27"/>
      <c r="D3" s="27"/>
      <c r="E3" s="27"/>
      <c r="F3" s="27"/>
      <c r="G3" s="27"/>
      <c r="H3" s="27"/>
    </row>
    <row r="4" spans="1:8" ht="30" customHeight="1" x14ac:dyDescent="0.35"/>
    <row r="5" spans="1:8" ht="25" customHeight="1" x14ac:dyDescent="0.35">
      <c r="B5" s="1" t="s">
        <v>2</v>
      </c>
      <c r="C5" s="28" t="s">
        <v>3</v>
      </c>
      <c r="D5" s="27"/>
      <c r="E5" s="27"/>
    </row>
    <row r="6" spans="1:8" ht="25" customHeight="1" x14ac:dyDescent="0.35">
      <c r="B6" s="1" t="s">
        <v>4</v>
      </c>
      <c r="C6" s="28" t="s">
        <v>5</v>
      </c>
      <c r="D6" s="27"/>
      <c r="E6" s="27"/>
    </row>
    <row r="7" spans="1:8" ht="25" customHeight="1" x14ac:dyDescent="0.35">
      <c r="B7" s="1" t="s">
        <v>6</v>
      </c>
      <c r="C7" s="28" t="s">
        <v>7</v>
      </c>
      <c r="D7" s="27"/>
      <c r="E7" s="27"/>
    </row>
    <row r="8" spans="1:8" ht="25" customHeight="1" x14ac:dyDescent="0.35">
      <c r="B8" s="1" t="s">
        <v>8</v>
      </c>
      <c r="C8" s="28" t="s">
        <v>9</v>
      </c>
      <c r="D8" s="27"/>
      <c r="E8" s="27"/>
    </row>
    <row r="9" spans="1:8" ht="25" customHeight="1" x14ac:dyDescent="0.35">
      <c r="B9" s="1" t="s">
        <v>10</v>
      </c>
      <c r="C9" s="28" t="s">
        <v>11</v>
      </c>
      <c r="D9" s="27"/>
      <c r="E9" s="27"/>
    </row>
    <row r="10" spans="1:8" ht="25" customHeight="1" x14ac:dyDescent="0.35">
      <c r="B10" s="1" t="s">
        <v>12</v>
      </c>
      <c r="C10" s="28">
        <f>COUNTA('Test Cases'!A:A)-1</f>
        <v>68</v>
      </c>
      <c r="D10" s="27"/>
      <c r="E10" s="27"/>
    </row>
    <row r="11" spans="1:8" ht="25" customHeight="1" x14ac:dyDescent="0.35"/>
    <row r="12" spans="1:8" x14ac:dyDescent="0.35">
      <c r="A12" s="2" t="s">
        <v>13</v>
      </c>
    </row>
    <row r="13" spans="1:8" x14ac:dyDescent="0.35">
      <c r="B13" s="3" t="s">
        <v>14</v>
      </c>
    </row>
    <row r="14" spans="1:8" x14ac:dyDescent="0.35">
      <c r="B14" s="4" t="s">
        <v>15</v>
      </c>
    </row>
    <row r="15" spans="1:8" x14ac:dyDescent="0.35">
      <c r="B15" s="5" t="s">
        <v>16</v>
      </c>
    </row>
    <row r="16" spans="1:8" x14ac:dyDescent="0.35">
      <c r="A16" s="2" t="s">
        <v>17</v>
      </c>
    </row>
    <row r="17" spans="2:2" x14ac:dyDescent="0.35">
      <c r="B17" s="6" t="s">
        <v>18</v>
      </c>
    </row>
    <row r="18" spans="2:2" x14ac:dyDescent="0.35">
      <c r="B18" s="7" t="s">
        <v>19</v>
      </c>
    </row>
    <row r="19" spans="2:2" x14ac:dyDescent="0.35">
      <c r="B19" s="8" t="s">
        <v>20</v>
      </c>
    </row>
    <row r="20" spans="2:2" x14ac:dyDescent="0.35">
      <c r="B20" s="9" t="s">
        <v>21</v>
      </c>
    </row>
  </sheetData>
  <mergeCells count="8">
    <mergeCell ref="C10:E10"/>
    <mergeCell ref="A3:H3"/>
    <mergeCell ref="C5:E5"/>
    <mergeCell ref="A2:H2"/>
    <mergeCell ref="C8:E8"/>
    <mergeCell ref="C9:E9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showGridLines="0" tabSelected="1" zoomScale="57" workbookViewId="0">
      <pane ySplit="2" topLeftCell="A3" activePane="bottomLeft" state="frozen"/>
      <selection pane="bottomLeft" activeCell="G5" sqref="G5"/>
    </sheetView>
  </sheetViews>
  <sheetFormatPr defaultRowHeight="14.5" x14ac:dyDescent="0.35"/>
  <cols>
    <col min="1" max="1" width="10" customWidth="1"/>
    <col min="2" max="2" width="22" customWidth="1"/>
    <col min="3" max="3" width="28" customWidth="1"/>
    <col min="4" max="4" width="38" customWidth="1"/>
    <col min="5" max="5" width="42" customWidth="1"/>
    <col min="6" max="6" width="30" customWidth="1"/>
    <col min="7" max="8" width="36" customWidth="1"/>
    <col min="9" max="10" width="12" customWidth="1"/>
  </cols>
  <sheetData>
    <row r="1" spans="1:10" ht="30" customHeight="1" x14ac:dyDescent="0.35">
      <c r="A1" s="30" t="s">
        <v>22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0" customHeight="1" x14ac:dyDescent="0.35">
      <c r="A2" s="10" t="s">
        <v>23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31</v>
      </c>
      <c r="J2" s="10" t="s">
        <v>32</v>
      </c>
    </row>
    <row r="3" spans="1:10" ht="75" customHeight="1" x14ac:dyDescent="0.35">
      <c r="A3" s="11" t="s">
        <v>33</v>
      </c>
      <c r="B3" s="12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  <c r="H3" s="13" t="s">
        <v>418</v>
      </c>
      <c r="I3" s="14" t="s">
        <v>14</v>
      </c>
      <c r="J3" s="6" t="s">
        <v>18</v>
      </c>
    </row>
    <row r="4" spans="1:10" ht="75" customHeight="1" x14ac:dyDescent="0.35">
      <c r="A4" s="11" t="s">
        <v>40</v>
      </c>
      <c r="B4" s="12" t="s">
        <v>34</v>
      </c>
      <c r="C4" s="15" t="s">
        <v>41</v>
      </c>
      <c r="D4" s="15" t="s">
        <v>42</v>
      </c>
      <c r="E4" s="15" t="s">
        <v>43</v>
      </c>
      <c r="F4" s="15" t="s">
        <v>38</v>
      </c>
      <c r="G4" s="15" t="s">
        <v>44</v>
      </c>
      <c r="H4" s="15" t="s">
        <v>44</v>
      </c>
      <c r="I4" s="14" t="s">
        <v>14</v>
      </c>
      <c r="J4" s="6" t="s">
        <v>18</v>
      </c>
    </row>
    <row r="5" spans="1:10" ht="75" customHeight="1" x14ac:dyDescent="0.35">
      <c r="A5" s="11" t="s">
        <v>45</v>
      </c>
      <c r="B5" s="12" t="s">
        <v>46</v>
      </c>
      <c r="C5" s="13" t="s">
        <v>47</v>
      </c>
      <c r="D5" s="13" t="s">
        <v>48</v>
      </c>
      <c r="E5" s="13" t="s">
        <v>49</v>
      </c>
      <c r="F5" s="13" t="s">
        <v>50</v>
      </c>
      <c r="G5" s="13" t="s">
        <v>51</v>
      </c>
      <c r="H5" s="13" t="s">
        <v>419</v>
      </c>
      <c r="I5" s="14" t="s">
        <v>14</v>
      </c>
      <c r="J5" s="6" t="s">
        <v>18</v>
      </c>
    </row>
    <row r="6" spans="1:10" ht="75" customHeight="1" x14ac:dyDescent="0.35">
      <c r="A6" s="11" t="s">
        <v>52</v>
      </c>
      <c r="B6" s="12" t="s">
        <v>46</v>
      </c>
      <c r="C6" s="15" t="s">
        <v>53</v>
      </c>
      <c r="D6" s="15" t="s">
        <v>54</v>
      </c>
      <c r="E6" s="15" t="s">
        <v>55</v>
      </c>
      <c r="F6" s="15" t="s">
        <v>56</v>
      </c>
      <c r="G6" s="15" t="s">
        <v>57</v>
      </c>
      <c r="H6" s="15" t="s">
        <v>57</v>
      </c>
      <c r="I6" s="14" t="s">
        <v>14</v>
      </c>
      <c r="J6" s="6" t="s">
        <v>18</v>
      </c>
    </row>
    <row r="7" spans="1:10" ht="75" customHeight="1" x14ac:dyDescent="0.35">
      <c r="A7" s="11" t="s">
        <v>58</v>
      </c>
      <c r="B7" s="12" t="s">
        <v>46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63</v>
      </c>
      <c r="H7" s="13" t="s">
        <v>420</v>
      </c>
      <c r="I7" s="14" t="s">
        <v>14</v>
      </c>
      <c r="J7" s="6" t="s">
        <v>18</v>
      </c>
    </row>
    <row r="8" spans="1:10" ht="75" customHeight="1" x14ac:dyDescent="0.35">
      <c r="A8" s="11" t="s">
        <v>64</v>
      </c>
      <c r="B8" s="12" t="s">
        <v>46</v>
      </c>
      <c r="C8" s="15" t="s">
        <v>65</v>
      </c>
      <c r="D8" s="15" t="s">
        <v>60</v>
      </c>
      <c r="E8" s="15" t="s">
        <v>66</v>
      </c>
      <c r="F8" s="15" t="s">
        <v>67</v>
      </c>
      <c r="G8" s="15" t="s">
        <v>68</v>
      </c>
      <c r="H8" s="15" t="s">
        <v>421</v>
      </c>
      <c r="I8" s="14" t="s">
        <v>14</v>
      </c>
      <c r="J8" s="6" t="s">
        <v>18</v>
      </c>
    </row>
    <row r="9" spans="1:10" ht="75" customHeight="1" x14ac:dyDescent="0.35">
      <c r="A9" s="11" t="s">
        <v>69</v>
      </c>
      <c r="B9" s="12" t="s">
        <v>46</v>
      </c>
      <c r="C9" s="13" t="s">
        <v>70</v>
      </c>
      <c r="D9" s="13" t="s">
        <v>60</v>
      </c>
      <c r="E9" s="13" t="s">
        <v>71</v>
      </c>
      <c r="F9" s="13" t="s">
        <v>72</v>
      </c>
      <c r="G9" s="13" t="s">
        <v>73</v>
      </c>
      <c r="H9" s="13" t="s">
        <v>422</v>
      </c>
      <c r="I9" s="16" t="s">
        <v>15</v>
      </c>
      <c r="J9" s="6" t="s">
        <v>18</v>
      </c>
    </row>
    <row r="10" spans="1:10" ht="75" customHeight="1" x14ac:dyDescent="0.35">
      <c r="A10" s="11" t="s">
        <v>74</v>
      </c>
      <c r="B10" s="12" t="s">
        <v>46</v>
      </c>
      <c r="C10" s="15" t="s">
        <v>75</v>
      </c>
      <c r="D10" s="15" t="s">
        <v>60</v>
      </c>
      <c r="E10" s="15" t="s">
        <v>76</v>
      </c>
      <c r="F10" s="15" t="s">
        <v>77</v>
      </c>
      <c r="G10" s="15" t="s">
        <v>78</v>
      </c>
      <c r="H10" s="15" t="s">
        <v>422</v>
      </c>
      <c r="I10" s="16" t="s">
        <v>15</v>
      </c>
      <c r="J10" s="6" t="s">
        <v>18</v>
      </c>
    </row>
    <row r="11" spans="1:10" ht="75" customHeight="1" x14ac:dyDescent="0.35">
      <c r="A11" s="11" t="s">
        <v>79</v>
      </c>
      <c r="B11" s="12" t="s">
        <v>46</v>
      </c>
      <c r="C11" s="13" t="s">
        <v>80</v>
      </c>
      <c r="D11" s="13" t="s">
        <v>81</v>
      </c>
      <c r="E11" s="13" t="s">
        <v>82</v>
      </c>
      <c r="F11" s="13" t="s">
        <v>83</v>
      </c>
      <c r="G11" s="13" t="s">
        <v>84</v>
      </c>
      <c r="H11" s="13" t="s">
        <v>423</v>
      </c>
      <c r="I11" s="17" t="s">
        <v>16</v>
      </c>
      <c r="J11" s="6" t="s">
        <v>18</v>
      </c>
    </row>
    <row r="12" spans="1:10" ht="75" customHeight="1" x14ac:dyDescent="0.35">
      <c r="A12" s="11" t="s">
        <v>85</v>
      </c>
      <c r="B12" s="12" t="s">
        <v>46</v>
      </c>
      <c r="C12" s="15" t="s">
        <v>86</v>
      </c>
      <c r="D12" s="15" t="s">
        <v>87</v>
      </c>
      <c r="E12" s="15" t="s">
        <v>88</v>
      </c>
      <c r="F12" s="15" t="s">
        <v>50</v>
      </c>
      <c r="G12" s="15" t="s">
        <v>89</v>
      </c>
      <c r="H12" s="15" t="s">
        <v>424</v>
      </c>
      <c r="I12" s="17" t="s">
        <v>16</v>
      </c>
      <c r="J12" s="6" t="s">
        <v>18</v>
      </c>
    </row>
    <row r="13" spans="1:10" ht="75" customHeight="1" x14ac:dyDescent="0.35">
      <c r="A13" s="11" t="s">
        <v>90</v>
      </c>
      <c r="B13" s="12" t="s">
        <v>91</v>
      </c>
      <c r="C13" s="13" t="s">
        <v>92</v>
      </c>
      <c r="D13" s="13" t="s">
        <v>93</v>
      </c>
      <c r="E13" s="13" t="s">
        <v>94</v>
      </c>
      <c r="F13" s="13" t="s">
        <v>95</v>
      </c>
      <c r="G13" s="13" t="s">
        <v>96</v>
      </c>
      <c r="H13" s="13" t="s">
        <v>425</v>
      </c>
      <c r="I13" s="14" t="s">
        <v>14</v>
      </c>
      <c r="J13" s="6" t="s">
        <v>18</v>
      </c>
    </row>
    <row r="14" spans="1:10" ht="75" customHeight="1" x14ac:dyDescent="0.35">
      <c r="A14" s="11" t="s">
        <v>97</v>
      </c>
      <c r="B14" s="12" t="s">
        <v>91</v>
      </c>
      <c r="C14" s="15" t="s">
        <v>98</v>
      </c>
      <c r="D14" s="15" t="s">
        <v>99</v>
      </c>
      <c r="E14" s="15" t="s">
        <v>100</v>
      </c>
      <c r="F14" s="15" t="s">
        <v>101</v>
      </c>
      <c r="G14" s="15" t="s">
        <v>102</v>
      </c>
      <c r="H14" s="15" t="s">
        <v>426</v>
      </c>
      <c r="I14" s="16" t="s">
        <v>15</v>
      </c>
      <c r="J14" s="6" t="s">
        <v>18</v>
      </c>
    </row>
    <row r="15" spans="1:10" ht="75" customHeight="1" x14ac:dyDescent="0.35">
      <c r="A15" s="11" t="s">
        <v>103</v>
      </c>
      <c r="B15" s="12" t="s">
        <v>91</v>
      </c>
      <c r="C15" s="13" t="s">
        <v>104</v>
      </c>
      <c r="D15" s="13" t="s">
        <v>105</v>
      </c>
      <c r="E15" s="13" t="s">
        <v>106</v>
      </c>
      <c r="F15" s="13" t="s">
        <v>38</v>
      </c>
      <c r="G15" s="13" t="s">
        <v>107</v>
      </c>
      <c r="H15" s="13" t="s">
        <v>427</v>
      </c>
      <c r="I15" s="14" t="s">
        <v>14</v>
      </c>
      <c r="J15" s="6" t="s">
        <v>18</v>
      </c>
    </row>
    <row r="16" spans="1:10" ht="75" customHeight="1" x14ac:dyDescent="0.35">
      <c r="A16" s="11" t="s">
        <v>108</v>
      </c>
      <c r="B16" s="12" t="s">
        <v>91</v>
      </c>
      <c r="C16" s="15" t="s">
        <v>109</v>
      </c>
      <c r="D16" s="15" t="s">
        <v>105</v>
      </c>
      <c r="E16" s="15" t="s">
        <v>110</v>
      </c>
      <c r="F16" s="15" t="s">
        <v>38</v>
      </c>
      <c r="G16" s="15" t="s">
        <v>111</v>
      </c>
      <c r="H16" s="15" t="s">
        <v>428</v>
      </c>
      <c r="I16" s="17" t="s">
        <v>16</v>
      </c>
      <c r="J16" s="6" t="s">
        <v>18</v>
      </c>
    </row>
    <row r="17" spans="1:10" ht="75" customHeight="1" x14ac:dyDescent="0.35">
      <c r="A17" s="11" t="s">
        <v>112</v>
      </c>
      <c r="B17" s="12" t="s">
        <v>91</v>
      </c>
      <c r="C17" s="13" t="s">
        <v>113</v>
      </c>
      <c r="D17" s="13" t="s">
        <v>114</v>
      </c>
      <c r="E17" s="13" t="s">
        <v>115</v>
      </c>
      <c r="F17" s="13" t="s">
        <v>116</v>
      </c>
      <c r="G17" s="13" t="s">
        <v>117</v>
      </c>
      <c r="H17" s="13" t="s">
        <v>429</v>
      </c>
      <c r="I17" s="14" t="s">
        <v>14</v>
      </c>
      <c r="J17" s="6" t="s">
        <v>18</v>
      </c>
    </row>
    <row r="18" spans="1:10" ht="75" customHeight="1" x14ac:dyDescent="0.35">
      <c r="A18" s="11" t="s">
        <v>118</v>
      </c>
      <c r="B18" s="12" t="s">
        <v>119</v>
      </c>
      <c r="C18" s="15" t="s">
        <v>120</v>
      </c>
      <c r="D18" s="15" t="s">
        <v>121</v>
      </c>
      <c r="E18" s="15" t="s">
        <v>122</v>
      </c>
      <c r="F18" s="15" t="s">
        <v>123</v>
      </c>
      <c r="G18" s="15" t="s">
        <v>124</v>
      </c>
      <c r="H18" s="15" t="s">
        <v>430</v>
      </c>
      <c r="I18" s="14" t="s">
        <v>14</v>
      </c>
      <c r="J18" s="6" t="s">
        <v>18</v>
      </c>
    </row>
    <row r="19" spans="1:10" ht="75" customHeight="1" x14ac:dyDescent="0.35">
      <c r="A19" s="11" t="s">
        <v>125</v>
      </c>
      <c r="B19" s="12" t="s">
        <v>119</v>
      </c>
      <c r="C19" s="13" t="s">
        <v>126</v>
      </c>
      <c r="D19" s="13" t="s">
        <v>127</v>
      </c>
      <c r="E19" s="13" t="s">
        <v>128</v>
      </c>
      <c r="F19" s="13" t="s">
        <v>129</v>
      </c>
      <c r="G19" s="13" t="s">
        <v>130</v>
      </c>
      <c r="H19" s="13" t="s">
        <v>431</v>
      </c>
      <c r="I19" s="14" t="s">
        <v>14</v>
      </c>
      <c r="J19" s="6" t="s">
        <v>18</v>
      </c>
    </row>
    <row r="20" spans="1:10" ht="75" customHeight="1" x14ac:dyDescent="0.35">
      <c r="A20" s="11" t="s">
        <v>131</v>
      </c>
      <c r="B20" s="12" t="s">
        <v>119</v>
      </c>
      <c r="C20" s="15" t="s">
        <v>132</v>
      </c>
      <c r="D20" s="15" t="s">
        <v>133</v>
      </c>
      <c r="E20" s="15" t="s">
        <v>134</v>
      </c>
      <c r="F20" s="15" t="s">
        <v>135</v>
      </c>
      <c r="G20" s="15" t="s">
        <v>136</v>
      </c>
      <c r="H20" s="15" t="s">
        <v>432</v>
      </c>
      <c r="I20" s="14" t="s">
        <v>14</v>
      </c>
      <c r="J20" s="6" t="s">
        <v>18</v>
      </c>
    </row>
    <row r="21" spans="1:10" ht="75" customHeight="1" x14ac:dyDescent="0.35">
      <c r="A21" s="11" t="s">
        <v>137</v>
      </c>
      <c r="B21" s="12" t="s">
        <v>119</v>
      </c>
      <c r="C21" s="13" t="s">
        <v>138</v>
      </c>
      <c r="D21" s="13" t="s">
        <v>139</v>
      </c>
      <c r="E21" s="13" t="s">
        <v>140</v>
      </c>
      <c r="F21" s="13" t="s">
        <v>141</v>
      </c>
      <c r="G21" s="13" t="s">
        <v>142</v>
      </c>
      <c r="H21" s="13" t="s">
        <v>433</v>
      </c>
      <c r="I21" s="16" t="s">
        <v>15</v>
      </c>
      <c r="J21" s="6" t="s">
        <v>18</v>
      </c>
    </row>
    <row r="22" spans="1:10" ht="75" customHeight="1" x14ac:dyDescent="0.35">
      <c r="A22" s="11" t="s">
        <v>143</v>
      </c>
      <c r="B22" s="12" t="s">
        <v>119</v>
      </c>
      <c r="C22" s="15" t="s">
        <v>144</v>
      </c>
      <c r="D22" s="15" t="s">
        <v>145</v>
      </c>
      <c r="E22" s="15" t="s">
        <v>146</v>
      </c>
      <c r="F22" s="15" t="s">
        <v>147</v>
      </c>
      <c r="G22" s="15" t="s">
        <v>148</v>
      </c>
      <c r="H22" s="15" t="s">
        <v>434</v>
      </c>
      <c r="I22" s="16" t="s">
        <v>15</v>
      </c>
      <c r="J22" s="6" t="s">
        <v>18</v>
      </c>
    </row>
    <row r="23" spans="1:10" ht="75" customHeight="1" x14ac:dyDescent="0.35">
      <c r="A23" s="11" t="s">
        <v>149</v>
      </c>
      <c r="B23" s="12" t="s">
        <v>150</v>
      </c>
      <c r="C23" s="13" t="s">
        <v>151</v>
      </c>
      <c r="D23" s="13" t="s">
        <v>152</v>
      </c>
      <c r="E23" s="13" t="s">
        <v>153</v>
      </c>
      <c r="F23" s="13" t="s">
        <v>38</v>
      </c>
      <c r="G23" s="13" t="s">
        <v>154</v>
      </c>
      <c r="H23" s="13" t="s">
        <v>435</v>
      </c>
      <c r="I23" s="14" t="s">
        <v>14</v>
      </c>
      <c r="J23" s="6" t="s">
        <v>18</v>
      </c>
    </row>
    <row r="24" spans="1:10" ht="75" customHeight="1" x14ac:dyDescent="0.35">
      <c r="A24" s="11" t="s">
        <v>155</v>
      </c>
      <c r="B24" s="12" t="s">
        <v>150</v>
      </c>
      <c r="C24" s="15" t="s">
        <v>156</v>
      </c>
      <c r="D24" s="15" t="s">
        <v>157</v>
      </c>
      <c r="E24" s="15" t="s">
        <v>158</v>
      </c>
      <c r="F24" s="15" t="s">
        <v>159</v>
      </c>
      <c r="G24" s="15" t="s">
        <v>160</v>
      </c>
      <c r="H24" s="15" t="s">
        <v>436</v>
      </c>
      <c r="I24" s="14" t="s">
        <v>14</v>
      </c>
      <c r="J24" s="6" t="s">
        <v>18</v>
      </c>
    </row>
    <row r="25" spans="1:10" ht="75" customHeight="1" x14ac:dyDescent="0.35">
      <c r="A25" s="11" t="s">
        <v>161</v>
      </c>
      <c r="B25" s="12" t="s">
        <v>150</v>
      </c>
      <c r="C25" s="13" t="s">
        <v>162</v>
      </c>
      <c r="D25" s="13" t="s">
        <v>163</v>
      </c>
      <c r="E25" s="13" t="s">
        <v>164</v>
      </c>
      <c r="F25" s="13" t="s">
        <v>165</v>
      </c>
      <c r="G25" s="13" t="s">
        <v>166</v>
      </c>
      <c r="H25" s="13" t="s">
        <v>437</v>
      </c>
      <c r="I25" s="16" t="s">
        <v>15</v>
      </c>
      <c r="J25" s="6" t="s">
        <v>18</v>
      </c>
    </row>
    <row r="26" spans="1:10" ht="75" customHeight="1" x14ac:dyDescent="0.35">
      <c r="A26" s="11" t="s">
        <v>167</v>
      </c>
      <c r="B26" s="12" t="s">
        <v>150</v>
      </c>
      <c r="C26" s="15" t="s">
        <v>168</v>
      </c>
      <c r="D26" s="15" t="s">
        <v>169</v>
      </c>
      <c r="E26" s="15" t="s">
        <v>170</v>
      </c>
      <c r="F26" s="15" t="s">
        <v>38</v>
      </c>
      <c r="G26" s="15" t="s">
        <v>171</v>
      </c>
      <c r="H26" s="15" t="s">
        <v>438</v>
      </c>
      <c r="I26" s="16" t="s">
        <v>15</v>
      </c>
      <c r="J26" s="6" t="s">
        <v>18</v>
      </c>
    </row>
    <row r="27" spans="1:10" ht="75" customHeight="1" x14ac:dyDescent="0.35">
      <c r="A27" s="11" t="s">
        <v>172</v>
      </c>
      <c r="B27" s="12" t="s">
        <v>173</v>
      </c>
      <c r="C27" s="13" t="s">
        <v>174</v>
      </c>
      <c r="D27" s="13" t="s">
        <v>175</v>
      </c>
      <c r="E27" s="13" t="s">
        <v>176</v>
      </c>
      <c r="F27" s="13" t="s">
        <v>177</v>
      </c>
      <c r="G27" s="13" t="s">
        <v>178</v>
      </c>
      <c r="H27" s="13" t="s">
        <v>439</v>
      </c>
      <c r="I27" s="14" t="s">
        <v>14</v>
      </c>
      <c r="J27" s="6" t="s">
        <v>18</v>
      </c>
    </row>
    <row r="28" spans="1:10" ht="75" customHeight="1" x14ac:dyDescent="0.35">
      <c r="A28" s="11" t="s">
        <v>179</v>
      </c>
      <c r="B28" s="12" t="s">
        <v>173</v>
      </c>
      <c r="C28" s="15" t="s">
        <v>180</v>
      </c>
      <c r="D28" s="15" t="s">
        <v>181</v>
      </c>
      <c r="E28" s="15" t="s">
        <v>182</v>
      </c>
      <c r="F28" s="15" t="s">
        <v>183</v>
      </c>
      <c r="G28" s="15" t="s">
        <v>184</v>
      </c>
      <c r="H28" s="15" t="s">
        <v>440</v>
      </c>
      <c r="I28" s="14" t="s">
        <v>14</v>
      </c>
      <c r="J28" s="6" t="s">
        <v>18</v>
      </c>
    </row>
    <row r="29" spans="1:10" ht="75" customHeight="1" x14ac:dyDescent="0.35">
      <c r="A29" s="11" t="s">
        <v>185</v>
      </c>
      <c r="B29" s="12" t="s">
        <v>173</v>
      </c>
      <c r="C29" s="13" t="s">
        <v>186</v>
      </c>
      <c r="D29" s="13" t="s">
        <v>187</v>
      </c>
      <c r="E29" s="13" t="s">
        <v>188</v>
      </c>
      <c r="F29" s="13" t="s">
        <v>189</v>
      </c>
      <c r="G29" s="13" t="s">
        <v>190</v>
      </c>
      <c r="H29" s="13" t="s">
        <v>441</v>
      </c>
      <c r="I29" s="14" t="s">
        <v>14</v>
      </c>
      <c r="J29" s="6" t="s">
        <v>18</v>
      </c>
    </row>
    <row r="30" spans="1:10" ht="75" customHeight="1" x14ac:dyDescent="0.35">
      <c r="A30" s="11" t="s">
        <v>191</v>
      </c>
      <c r="B30" s="12" t="s">
        <v>173</v>
      </c>
      <c r="C30" s="15" t="s">
        <v>192</v>
      </c>
      <c r="D30" s="15" t="s">
        <v>193</v>
      </c>
      <c r="E30" s="15" t="s">
        <v>194</v>
      </c>
      <c r="F30" s="15" t="s">
        <v>195</v>
      </c>
      <c r="G30" s="15" t="s">
        <v>196</v>
      </c>
      <c r="H30" s="15" t="s">
        <v>442</v>
      </c>
      <c r="I30" s="16" t="s">
        <v>15</v>
      </c>
      <c r="J30" s="6" t="s">
        <v>18</v>
      </c>
    </row>
    <row r="31" spans="1:10" ht="75" customHeight="1" x14ac:dyDescent="0.35">
      <c r="A31" s="11" t="s">
        <v>197</v>
      </c>
      <c r="B31" s="12" t="s">
        <v>173</v>
      </c>
      <c r="C31" s="13" t="s">
        <v>198</v>
      </c>
      <c r="D31" s="13" t="s">
        <v>199</v>
      </c>
      <c r="E31" s="13" t="s">
        <v>200</v>
      </c>
      <c r="F31" s="13" t="s">
        <v>201</v>
      </c>
      <c r="G31" s="13" t="s">
        <v>202</v>
      </c>
      <c r="H31" s="13" t="s">
        <v>443</v>
      </c>
      <c r="I31" s="16" t="s">
        <v>15</v>
      </c>
      <c r="J31" s="6" t="s">
        <v>18</v>
      </c>
    </row>
    <row r="32" spans="1:10" ht="75" customHeight="1" x14ac:dyDescent="0.35">
      <c r="A32" s="11" t="s">
        <v>203</v>
      </c>
      <c r="B32" s="12" t="s">
        <v>173</v>
      </c>
      <c r="C32" s="15" t="s">
        <v>204</v>
      </c>
      <c r="D32" s="15" t="s">
        <v>205</v>
      </c>
      <c r="E32" s="15" t="s">
        <v>206</v>
      </c>
      <c r="F32" s="15" t="s">
        <v>38</v>
      </c>
      <c r="G32" s="15" t="s">
        <v>207</v>
      </c>
      <c r="H32" s="15" t="s">
        <v>444</v>
      </c>
      <c r="I32" s="16" t="s">
        <v>15</v>
      </c>
      <c r="J32" s="6" t="s">
        <v>18</v>
      </c>
    </row>
    <row r="33" spans="1:10" ht="75" customHeight="1" x14ac:dyDescent="0.35">
      <c r="A33" s="11" t="s">
        <v>208</v>
      </c>
      <c r="B33" s="12" t="s">
        <v>209</v>
      </c>
      <c r="C33" s="13" t="s">
        <v>210</v>
      </c>
      <c r="D33" s="13" t="s">
        <v>105</v>
      </c>
      <c r="E33" s="13" t="s">
        <v>211</v>
      </c>
      <c r="F33" s="13" t="s">
        <v>212</v>
      </c>
      <c r="G33" s="13" t="s">
        <v>213</v>
      </c>
      <c r="H33" s="13" t="s">
        <v>445</v>
      </c>
      <c r="I33" s="16" t="s">
        <v>15</v>
      </c>
      <c r="J33" s="6" t="s">
        <v>18</v>
      </c>
    </row>
    <row r="34" spans="1:10" ht="75" customHeight="1" x14ac:dyDescent="0.35">
      <c r="A34" s="11" t="s">
        <v>214</v>
      </c>
      <c r="B34" s="12" t="s">
        <v>209</v>
      </c>
      <c r="C34" s="15" t="s">
        <v>215</v>
      </c>
      <c r="D34" s="15" t="s">
        <v>216</v>
      </c>
      <c r="E34" s="15" t="s">
        <v>217</v>
      </c>
      <c r="F34" s="15" t="s">
        <v>218</v>
      </c>
      <c r="G34" s="15" t="s">
        <v>219</v>
      </c>
      <c r="H34" s="15" t="s">
        <v>446</v>
      </c>
      <c r="I34" s="16" t="s">
        <v>15</v>
      </c>
      <c r="J34" s="6" t="s">
        <v>18</v>
      </c>
    </row>
    <row r="35" spans="1:10" ht="75" customHeight="1" x14ac:dyDescent="0.35">
      <c r="A35" s="11" t="s">
        <v>220</v>
      </c>
      <c r="B35" s="12" t="s">
        <v>209</v>
      </c>
      <c r="C35" s="13" t="s">
        <v>221</v>
      </c>
      <c r="D35" s="13" t="s">
        <v>222</v>
      </c>
      <c r="E35" s="13" t="s">
        <v>223</v>
      </c>
      <c r="F35" s="13" t="s">
        <v>224</v>
      </c>
      <c r="G35" s="13" t="s">
        <v>225</v>
      </c>
      <c r="H35" s="13" t="s">
        <v>447</v>
      </c>
      <c r="I35" s="17" t="s">
        <v>16</v>
      </c>
      <c r="J35" s="6" t="s">
        <v>18</v>
      </c>
    </row>
    <row r="36" spans="1:10" ht="75" customHeight="1" x14ac:dyDescent="0.35">
      <c r="A36" s="11" t="s">
        <v>226</v>
      </c>
      <c r="B36" s="12" t="s">
        <v>209</v>
      </c>
      <c r="C36" s="15" t="s">
        <v>227</v>
      </c>
      <c r="D36" s="15" t="s">
        <v>228</v>
      </c>
      <c r="E36" s="15" t="s">
        <v>229</v>
      </c>
      <c r="F36" s="15" t="s">
        <v>38</v>
      </c>
      <c r="G36" s="15" t="s">
        <v>230</v>
      </c>
      <c r="H36" s="15" t="s">
        <v>448</v>
      </c>
      <c r="I36" s="17" t="s">
        <v>16</v>
      </c>
      <c r="J36" s="6" t="s">
        <v>18</v>
      </c>
    </row>
    <row r="37" spans="1:10" ht="75" customHeight="1" x14ac:dyDescent="0.35">
      <c r="A37" s="11" t="s">
        <v>231</v>
      </c>
      <c r="B37" s="12" t="s">
        <v>232</v>
      </c>
      <c r="C37" s="13" t="s">
        <v>233</v>
      </c>
      <c r="D37" s="13" t="s">
        <v>234</v>
      </c>
      <c r="E37" s="13" t="s">
        <v>235</v>
      </c>
      <c r="F37" s="13" t="s">
        <v>236</v>
      </c>
      <c r="G37" s="13" t="s">
        <v>237</v>
      </c>
      <c r="H37" s="13" t="s">
        <v>449</v>
      </c>
      <c r="I37" s="14" t="s">
        <v>14</v>
      </c>
      <c r="J37" s="6" t="s">
        <v>18</v>
      </c>
    </row>
    <row r="38" spans="1:10" ht="75" customHeight="1" x14ac:dyDescent="0.35">
      <c r="A38" s="11" t="s">
        <v>238</v>
      </c>
      <c r="B38" s="12" t="s">
        <v>232</v>
      </c>
      <c r="C38" s="15" t="s">
        <v>239</v>
      </c>
      <c r="D38" s="15" t="s">
        <v>240</v>
      </c>
      <c r="E38" s="15" t="s">
        <v>241</v>
      </c>
      <c r="F38" s="15" t="s">
        <v>38</v>
      </c>
      <c r="G38" s="15" t="s">
        <v>242</v>
      </c>
      <c r="H38" s="15" t="s">
        <v>450</v>
      </c>
      <c r="I38" s="14" t="s">
        <v>14</v>
      </c>
      <c r="J38" s="6" t="s">
        <v>18</v>
      </c>
    </row>
    <row r="39" spans="1:10" ht="75" customHeight="1" x14ac:dyDescent="0.35">
      <c r="A39" s="11" t="s">
        <v>243</v>
      </c>
      <c r="B39" s="12" t="s">
        <v>232</v>
      </c>
      <c r="C39" s="13" t="s">
        <v>244</v>
      </c>
      <c r="D39" s="13" t="s">
        <v>245</v>
      </c>
      <c r="E39" s="13" t="s">
        <v>246</v>
      </c>
      <c r="F39" s="13" t="s">
        <v>247</v>
      </c>
      <c r="G39" s="13" t="s">
        <v>248</v>
      </c>
      <c r="H39" s="13" t="s">
        <v>451</v>
      </c>
      <c r="I39" s="14" t="s">
        <v>14</v>
      </c>
      <c r="J39" s="6" t="s">
        <v>18</v>
      </c>
    </row>
    <row r="40" spans="1:10" ht="75" customHeight="1" x14ac:dyDescent="0.35">
      <c r="A40" s="11" t="s">
        <v>249</v>
      </c>
      <c r="B40" s="12" t="s">
        <v>232</v>
      </c>
      <c r="C40" s="15" t="s">
        <v>250</v>
      </c>
      <c r="D40" s="15" t="s">
        <v>245</v>
      </c>
      <c r="E40" s="15" t="s">
        <v>251</v>
      </c>
      <c r="F40" s="15" t="s">
        <v>252</v>
      </c>
      <c r="G40" s="15" t="s">
        <v>253</v>
      </c>
      <c r="H40" s="15" t="s">
        <v>451</v>
      </c>
      <c r="I40" s="16" t="s">
        <v>15</v>
      </c>
      <c r="J40" s="6" t="s">
        <v>18</v>
      </c>
    </row>
    <row r="41" spans="1:10" ht="75" customHeight="1" x14ac:dyDescent="0.35">
      <c r="A41" s="11" t="s">
        <v>254</v>
      </c>
      <c r="B41" s="12" t="s">
        <v>232</v>
      </c>
      <c r="C41" s="13" t="s">
        <v>255</v>
      </c>
      <c r="D41" s="13" t="s">
        <v>256</v>
      </c>
      <c r="E41" s="13" t="s">
        <v>257</v>
      </c>
      <c r="F41" s="13" t="s">
        <v>258</v>
      </c>
      <c r="G41" s="13" t="s">
        <v>259</v>
      </c>
      <c r="H41" s="13" t="s">
        <v>452</v>
      </c>
      <c r="I41" s="16" t="s">
        <v>15</v>
      </c>
      <c r="J41" s="6" t="s">
        <v>18</v>
      </c>
    </row>
    <row r="42" spans="1:10" ht="75" customHeight="1" x14ac:dyDescent="0.35">
      <c r="A42" s="11" t="s">
        <v>260</v>
      </c>
      <c r="B42" s="12" t="s">
        <v>232</v>
      </c>
      <c r="C42" s="15" t="s">
        <v>261</v>
      </c>
      <c r="D42" s="15" t="s">
        <v>262</v>
      </c>
      <c r="E42" s="15" t="s">
        <v>263</v>
      </c>
      <c r="F42" s="15" t="s">
        <v>38</v>
      </c>
      <c r="G42" s="15" t="s">
        <v>264</v>
      </c>
      <c r="H42" s="15" t="s">
        <v>448</v>
      </c>
      <c r="I42" s="16" t="s">
        <v>15</v>
      </c>
      <c r="J42" s="6" t="s">
        <v>18</v>
      </c>
    </row>
    <row r="43" spans="1:10" ht="75" customHeight="1" x14ac:dyDescent="0.35">
      <c r="A43" s="11" t="s">
        <v>265</v>
      </c>
      <c r="B43" s="12" t="s">
        <v>266</v>
      </c>
      <c r="C43" s="13" t="s">
        <v>267</v>
      </c>
      <c r="D43" s="13" t="s">
        <v>268</v>
      </c>
      <c r="E43" s="13" t="s">
        <v>269</v>
      </c>
      <c r="F43" s="13" t="s">
        <v>270</v>
      </c>
      <c r="G43" s="13" t="s">
        <v>271</v>
      </c>
      <c r="H43" s="13" t="s">
        <v>453</v>
      </c>
      <c r="I43" s="14" t="s">
        <v>14</v>
      </c>
      <c r="J43" s="6" t="s">
        <v>18</v>
      </c>
    </row>
    <row r="44" spans="1:10" ht="75" customHeight="1" x14ac:dyDescent="0.35">
      <c r="A44" s="11" t="s">
        <v>272</v>
      </c>
      <c r="B44" s="12" t="s">
        <v>266</v>
      </c>
      <c r="C44" s="15" t="s">
        <v>273</v>
      </c>
      <c r="D44" s="15" t="s">
        <v>274</v>
      </c>
      <c r="E44" s="15" t="s">
        <v>275</v>
      </c>
      <c r="F44" s="15" t="s">
        <v>276</v>
      </c>
      <c r="G44" s="15" t="s">
        <v>277</v>
      </c>
      <c r="H44" s="15" t="s">
        <v>447</v>
      </c>
      <c r="I44" s="14" t="s">
        <v>14</v>
      </c>
      <c r="J44" s="6" t="s">
        <v>18</v>
      </c>
    </row>
    <row r="45" spans="1:10" ht="75" customHeight="1" x14ac:dyDescent="0.35">
      <c r="A45" s="11" t="s">
        <v>278</v>
      </c>
      <c r="B45" s="12" t="s">
        <v>266</v>
      </c>
      <c r="C45" s="13" t="s">
        <v>279</v>
      </c>
      <c r="D45" s="13" t="s">
        <v>280</v>
      </c>
      <c r="E45" s="13" t="s">
        <v>281</v>
      </c>
      <c r="F45" s="13" t="s">
        <v>282</v>
      </c>
      <c r="G45" s="13" t="s">
        <v>283</v>
      </c>
      <c r="H45" s="13" t="s">
        <v>447</v>
      </c>
      <c r="I45" s="14" t="s">
        <v>14</v>
      </c>
      <c r="J45" s="6" t="s">
        <v>18</v>
      </c>
    </row>
    <row r="46" spans="1:10" ht="75" customHeight="1" x14ac:dyDescent="0.35">
      <c r="A46" s="11" t="s">
        <v>284</v>
      </c>
      <c r="B46" s="12" t="s">
        <v>266</v>
      </c>
      <c r="C46" s="15" t="s">
        <v>285</v>
      </c>
      <c r="D46" s="15" t="s">
        <v>286</v>
      </c>
      <c r="E46" s="15" t="s">
        <v>287</v>
      </c>
      <c r="F46" s="15" t="s">
        <v>288</v>
      </c>
      <c r="G46" s="15" t="s">
        <v>289</v>
      </c>
      <c r="H46" s="15" t="s">
        <v>454</v>
      </c>
      <c r="I46" s="16" t="s">
        <v>15</v>
      </c>
      <c r="J46" s="6" t="s">
        <v>18</v>
      </c>
    </row>
    <row r="47" spans="1:10" ht="75" customHeight="1" x14ac:dyDescent="0.35">
      <c r="A47" s="11" t="s">
        <v>290</v>
      </c>
      <c r="B47" s="12" t="s">
        <v>266</v>
      </c>
      <c r="C47" s="13" t="s">
        <v>291</v>
      </c>
      <c r="D47" s="13" t="s">
        <v>292</v>
      </c>
      <c r="E47" s="13" t="s">
        <v>293</v>
      </c>
      <c r="F47" s="13" t="s">
        <v>258</v>
      </c>
      <c r="G47" s="13" t="s">
        <v>294</v>
      </c>
      <c r="H47" s="13" t="s">
        <v>455</v>
      </c>
      <c r="I47" s="16" t="s">
        <v>15</v>
      </c>
      <c r="J47" s="6" t="s">
        <v>18</v>
      </c>
    </row>
    <row r="48" spans="1:10" ht="75" customHeight="1" x14ac:dyDescent="0.35">
      <c r="A48" s="11" t="s">
        <v>295</v>
      </c>
      <c r="B48" s="12" t="s">
        <v>266</v>
      </c>
      <c r="C48" s="15" t="s">
        <v>296</v>
      </c>
      <c r="D48" s="15" t="s">
        <v>297</v>
      </c>
      <c r="E48" s="15" t="s">
        <v>298</v>
      </c>
      <c r="F48" s="15" t="s">
        <v>38</v>
      </c>
      <c r="G48" s="15" t="s">
        <v>299</v>
      </c>
      <c r="H48" s="15" t="s">
        <v>448</v>
      </c>
      <c r="I48" s="16" t="s">
        <v>15</v>
      </c>
      <c r="J48" s="6" t="s">
        <v>18</v>
      </c>
    </row>
    <row r="49" spans="1:10" ht="75" customHeight="1" x14ac:dyDescent="0.35">
      <c r="A49" s="11" t="s">
        <v>300</v>
      </c>
      <c r="B49" s="12" t="s">
        <v>301</v>
      </c>
      <c r="C49" s="13" t="s">
        <v>302</v>
      </c>
      <c r="D49" s="13" t="s">
        <v>303</v>
      </c>
      <c r="E49" s="13" t="s">
        <v>304</v>
      </c>
      <c r="F49" s="13" t="s">
        <v>305</v>
      </c>
      <c r="G49" s="13" t="s">
        <v>306</v>
      </c>
      <c r="H49" s="13" t="s">
        <v>456</v>
      </c>
      <c r="I49" s="14" t="s">
        <v>14</v>
      </c>
      <c r="J49" s="6" t="s">
        <v>18</v>
      </c>
    </row>
    <row r="50" spans="1:10" ht="75" customHeight="1" x14ac:dyDescent="0.35">
      <c r="A50" s="11" t="s">
        <v>307</v>
      </c>
      <c r="B50" s="12" t="s">
        <v>301</v>
      </c>
      <c r="C50" s="15" t="s">
        <v>308</v>
      </c>
      <c r="D50" s="15" t="s">
        <v>309</v>
      </c>
      <c r="E50" s="15" t="s">
        <v>310</v>
      </c>
      <c r="F50" s="15" t="s">
        <v>311</v>
      </c>
      <c r="G50" s="15" t="s">
        <v>312</v>
      </c>
      <c r="H50" s="15" t="s">
        <v>455</v>
      </c>
      <c r="I50" s="16" t="s">
        <v>15</v>
      </c>
      <c r="J50" s="6" t="s">
        <v>18</v>
      </c>
    </row>
    <row r="51" spans="1:10" ht="75" customHeight="1" x14ac:dyDescent="0.35">
      <c r="A51" s="11" t="s">
        <v>313</v>
      </c>
      <c r="B51" s="12" t="s">
        <v>301</v>
      </c>
      <c r="C51" s="13" t="s">
        <v>314</v>
      </c>
      <c r="D51" s="13" t="s">
        <v>309</v>
      </c>
      <c r="E51" s="13" t="s">
        <v>315</v>
      </c>
      <c r="F51" s="13" t="s">
        <v>38</v>
      </c>
      <c r="G51" s="13" t="s">
        <v>316</v>
      </c>
      <c r="H51" s="13" t="s">
        <v>457</v>
      </c>
      <c r="I51" s="17" t="s">
        <v>16</v>
      </c>
      <c r="J51" s="6" t="s">
        <v>18</v>
      </c>
    </row>
    <row r="52" spans="1:10" ht="75" customHeight="1" x14ac:dyDescent="0.35">
      <c r="A52" s="11" t="s">
        <v>317</v>
      </c>
      <c r="B52" s="12" t="s">
        <v>301</v>
      </c>
      <c r="C52" s="15" t="s">
        <v>318</v>
      </c>
      <c r="D52" s="15" t="s">
        <v>319</v>
      </c>
      <c r="E52" s="15" t="s">
        <v>320</v>
      </c>
      <c r="F52" s="15" t="s">
        <v>38</v>
      </c>
      <c r="G52" s="15" t="s">
        <v>321</v>
      </c>
      <c r="H52" s="15" t="s">
        <v>448</v>
      </c>
      <c r="I52" s="16" t="s">
        <v>15</v>
      </c>
      <c r="J52" s="6" t="s">
        <v>18</v>
      </c>
    </row>
    <row r="53" spans="1:10" ht="75" customHeight="1" x14ac:dyDescent="0.35">
      <c r="A53" s="11" t="s">
        <v>322</v>
      </c>
      <c r="B53" s="12" t="s">
        <v>323</v>
      </c>
      <c r="C53" s="13" t="s">
        <v>324</v>
      </c>
      <c r="D53" s="13" t="s">
        <v>325</v>
      </c>
      <c r="E53" s="13" t="s">
        <v>326</v>
      </c>
      <c r="F53" s="13" t="s">
        <v>327</v>
      </c>
      <c r="G53" s="13" t="s">
        <v>328</v>
      </c>
      <c r="H53" s="13" t="s">
        <v>458</v>
      </c>
      <c r="I53" s="14" t="s">
        <v>14</v>
      </c>
      <c r="J53" s="6" t="s">
        <v>18</v>
      </c>
    </row>
    <row r="54" spans="1:10" ht="75" customHeight="1" x14ac:dyDescent="0.35">
      <c r="A54" s="11" t="s">
        <v>329</v>
      </c>
      <c r="B54" s="12" t="s">
        <v>323</v>
      </c>
      <c r="C54" s="15" t="s">
        <v>330</v>
      </c>
      <c r="D54" s="15" t="s">
        <v>331</v>
      </c>
      <c r="E54" s="15" t="s">
        <v>332</v>
      </c>
      <c r="F54" s="15" t="s">
        <v>333</v>
      </c>
      <c r="G54" s="15" t="s">
        <v>334</v>
      </c>
      <c r="H54" s="15" t="s">
        <v>455</v>
      </c>
      <c r="I54" s="14" t="s">
        <v>14</v>
      </c>
      <c r="J54" s="6" t="s">
        <v>18</v>
      </c>
    </row>
    <row r="55" spans="1:10" ht="75" customHeight="1" x14ac:dyDescent="0.35">
      <c r="A55" s="11" t="s">
        <v>335</v>
      </c>
      <c r="B55" s="12" t="s">
        <v>323</v>
      </c>
      <c r="C55" s="13" t="s">
        <v>336</v>
      </c>
      <c r="D55" s="13" t="s">
        <v>331</v>
      </c>
      <c r="E55" s="13" t="s">
        <v>337</v>
      </c>
      <c r="F55" s="13" t="s">
        <v>338</v>
      </c>
      <c r="G55" s="13" t="s">
        <v>334</v>
      </c>
      <c r="H55" s="13" t="s">
        <v>455</v>
      </c>
      <c r="I55" s="16" t="s">
        <v>15</v>
      </c>
      <c r="J55" s="6" t="s">
        <v>18</v>
      </c>
    </row>
    <row r="56" spans="1:10" ht="75" customHeight="1" x14ac:dyDescent="0.35">
      <c r="A56" s="11" t="s">
        <v>339</v>
      </c>
      <c r="B56" s="12" t="s">
        <v>323</v>
      </c>
      <c r="C56" s="15" t="s">
        <v>340</v>
      </c>
      <c r="D56" s="15" t="s">
        <v>331</v>
      </c>
      <c r="E56" s="15" t="s">
        <v>341</v>
      </c>
      <c r="F56" s="15" t="s">
        <v>342</v>
      </c>
      <c r="G56" s="15" t="s">
        <v>334</v>
      </c>
      <c r="H56" s="15" t="s">
        <v>455</v>
      </c>
      <c r="I56" s="16" t="s">
        <v>15</v>
      </c>
      <c r="J56" s="6" t="s">
        <v>18</v>
      </c>
    </row>
    <row r="57" spans="1:10" ht="75" customHeight="1" x14ac:dyDescent="0.35">
      <c r="A57" s="11" t="s">
        <v>343</v>
      </c>
      <c r="B57" s="12" t="s">
        <v>323</v>
      </c>
      <c r="C57" s="13" t="s">
        <v>344</v>
      </c>
      <c r="D57" s="13" t="s">
        <v>345</v>
      </c>
      <c r="E57" s="13" t="s">
        <v>346</v>
      </c>
      <c r="F57" s="13" t="s">
        <v>38</v>
      </c>
      <c r="G57" s="13" t="s">
        <v>347</v>
      </c>
      <c r="H57" s="13" t="s">
        <v>448</v>
      </c>
      <c r="I57" s="16" t="s">
        <v>15</v>
      </c>
      <c r="J57" s="6" t="s">
        <v>18</v>
      </c>
    </row>
    <row r="58" spans="1:10" ht="75" customHeight="1" x14ac:dyDescent="0.35">
      <c r="A58" s="11" t="s">
        <v>348</v>
      </c>
      <c r="B58" s="12" t="s">
        <v>349</v>
      </c>
      <c r="C58" s="15" t="s">
        <v>350</v>
      </c>
      <c r="D58" s="15" t="s">
        <v>351</v>
      </c>
      <c r="E58" s="15" t="s">
        <v>352</v>
      </c>
      <c r="F58" s="15" t="s">
        <v>38</v>
      </c>
      <c r="G58" s="15" t="s">
        <v>353</v>
      </c>
      <c r="H58" s="15" t="s">
        <v>459</v>
      </c>
      <c r="I58" s="14" t="s">
        <v>14</v>
      </c>
      <c r="J58" s="6" t="s">
        <v>18</v>
      </c>
    </row>
    <row r="59" spans="1:10" ht="75" customHeight="1" x14ac:dyDescent="0.35">
      <c r="A59" s="11" t="s">
        <v>354</v>
      </c>
      <c r="B59" s="12" t="s">
        <v>349</v>
      </c>
      <c r="C59" s="13" t="s">
        <v>355</v>
      </c>
      <c r="D59" s="13" t="s">
        <v>356</v>
      </c>
      <c r="E59" s="13" t="s">
        <v>357</v>
      </c>
      <c r="F59" s="13" t="s">
        <v>38</v>
      </c>
      <c r="G59" s="13" t="s">
        <v>358</v>
      </c>
      <c r="H59" s="13" t="s">
        <v>460</v>
      </c>
      <c r="I59" s="14" t="s">
        <v>14</v>
      </c>
      <c r="J59" s="6" t="s">
        <v>18</v>
      </c>
    </row>
    <row r="60" spans="1:10" ht="75" customHeight="1" x14ac:dyDescent="0.35">
      <c r="A60" s="11" t="s">
        <v>359</v>
      </c>
      <c r="B60" s="12" t="s">
        <v>349</v>
      </c>
      <c r="C60" s="15" t="s">
        <v>360</v>
      </c>
      <c r="D60" s="15" t="s">
        <v>361</v>
      </c>
      <c r="E60" s="15" t="s">
        <v>362</v>
      </c>
      <c r="F60" s="15" t="s">
        <v>38</v>
      </c>
      <c r="G60" s="15" t="s">
        <v>363</v>
      </c>
      <c r="H60" s="15" t="s">
        <v>461</v>
      </c>
      <c r="I60" s="14" t="s">
        <v>14</v>
      </c>
      <c r="J60" s="6" t="s">
        <v>18</v>
      </c>
    </row>
    <row r="61" spans="1:10" ht="75" customHeight="1" x14ac:dyDescent="0.35">
      <c r="A61" s="11" t="s">
        <v>364</v>
      </c>
      <c r="B61" s="12" t="s">
        <v>349</v>
      </c>
      <c r="C61" s="13" t="s">
        <v>365</v>
      </c>
      <c r="D61" s="13" t="s">
        <v>366</v>
      </c>
      <c r="E61" s="13" t="s">
        <v>367</v>
      </c>
      <c r="F61" s="13" t="s">
        <v>38</v>
      </c>
      <c r="G61" s="13" t="s">
        <v>368</v>
      </c>
      <c r="H61" s="13" t="s">
        <v>462</v>
      </c>
      <c r="I61" s="14" t="s">
        <v>14</v>
      </c>
      <c r="J61" s="6" t="s">
        <v>18</v>
      </c>
    </row>
    <row r="62" spans="1:10" ht="75" customHeight="1" x14ac:dyDescent="0.35">
      <c r="A62" s="11" t="s">
        <v>369</v>
      </c>
      <c r="B62" s="12" t="s">
        <v>349</v>
      </c>
      <c r="C62" s="15" t="s">
        <v>370</v>
      </c>
      <c r="D62" s="15" t="s">
        <v>371</v>
      </c>
      <c r="E62" s="15" t="s">
        <v>372</v>
      </c>
      <c r="F62" s="15" t="s">
        <v>38</v>
      </c>
      <c r="G62" s="15" t="s">
        <v>373</v>
      </c>
      <c r="H62" s="15" t="s">
        <v>463</v>
      </c>
      <c r="I62" s="16" t="s">
        <v>15</v>
      </c>
      <c r="J62" s="6" t="s">
        <v>18</v>
      </c>
    </row>
    <row r="63" spans="1:10" ht="75" customHeight="1" x14ac:dyDescent="0.35">
      <c r="A63" s="11" t="s">
        <v>374</v>
      </c>
      <c r="B63" s="12" t="s">
        <v>375</v>
      </c>
      <c r="C63" s="13" t="s">
        <v>376</v>
      </c>
      <c r="D63" s="13" t="s">
        <v>377</v>
      </c>
      <c r="E63" s="13" t="s">
        <v>378</v>
      </c>
      <c r="F63" s="13" t="s">
        <v>38</v>
      </c>
      <c r="G63" s="13" t="s">
        <v>379</v>
      </c>
      <c r="H63" s="13" t="s">
        <v>464</v>
      </c>
      <c r="I63" s="14" t="s">
        <v>14</v>
      </c>
      <c r="J63" s="6" t="s">
        <v>18</v>
      </c>
    </row>
    <row r="64" spans="1:10" ht="75" customHeight="1" x14ac:dyDescent="0.35">
      <c r="A64" s="11" t="s">
        <v>380</v>
      </c>
      <c r="B64" s="12" t="s">
        <v>375</v>
      </c>
      <c r="C64" s="15" t="s">
        <v>381</v>
      </c>
      <c r="D64" s="15" t="s">
        <v>382</v>
      </c>
      <c r="E64" s="15" t="s">
        <v>383</v>
      </c>
      <c r="F64" s="15" t="s">
        <v>38</v>
      </c>
      <c r="G64" s="15" t="s">
        <v>384</v>
      </c>
      <c r="H64" s="15" t="s">
        <v>465</v>
      </c>
      <c r="I64" s="16" t="s">
        <v>15</v>
      </c>
      <c r="J64" s="6" t="s">
        <v>18</v>
      </c>
    </row>
    <row r="65" spans="1:10" ht="75" customHeight="1" x14ac:dyDescent="0.35">
      <c r="A65" s="11" t="s">
        <v>385</v>
      </c>
      <c r="B65" s="12" t="s">
        <v>375</v>
      </c>
      <c r="C65" s="13" t="s">
        <v>386</v>
      </c>
      <c r="D65" s="13" t="s">
        <v>387</v>
      </c>
      <c r="E65" s="13" t="s">
        <v>388</v>
      </c>
      <c r="F65" s="13" t="s">
        <v>38</v>
      </c>
      <c r="G65" s="13" t="s">
        <v>389</v>
      </c>
      <c r="H65" s="13" t="s">
        <v>466</v>
      </c>
      <c r="I65" s="14" t="s">
        <v>14</v>
      </c>
      <c r="J65" s="6" t="s">
        <v>18</v>
      </c>
    </row>
    <row r="66" spans="1:10" ht="75" customHeight="1" x14ac:dyDescent="0.35">
      <c r="A66" s="11" t="s">
        <v>390</v>
      </c>
      <c r="B66" s="12" t="s">
        <v>375</v>
      </c>
      <c r="C66" s="15" t="s">
        <v>391</v>
      </c>
      <c r="D66" s="15" t="s">
        <v>387</v>
      </c>
      <c r="E66" s="15" t="s">
        <v>392</v>
      </c>
      <c r="F66" s="15" t="s">
        <v>393</v>
      </c>
      <c r="G66" s="15" t="s">
        <v>394</v>
      </c>
      <c r="H66" s="15" t="s">
        <v>467</v>
      </c>
      <c r="I66" s="14" t="s">
        <v>14</v>
      </c>
      <c r="J66" s="6" t="s">
        <v>18</v>
      </c>
    </row>
    <row r="67" spans="1:10" ht="75" customHeight="1" x14ac:dyDescent="0.35">
      <c r="A67" s="11" t="s">
        <v>395</v>
      </c>
      <c r="B67" s="12" t="s">
        <v>396</v>
      </c>
      <c r="C67" s="13" t="s">
        <v>397</v>
      </c>
      <c r="D67" s="13" t="s">
        <v>398</v>
      </c>
      <c r="E67" s="13" t="s">
        <v>399</v>
      </c>
      <c r="F67" s="13" t="s">
        <v>38</v>
      </c>
      <c r="G67" s="13" t="s">
        <v>400</v>
      </c>
      <c r="H67" s="13" t="s">
        <v>468</v>
      </c>
      <c r="I67" s="14" t="s">
        <v>14</v>
      </c>
      <c r="J67" s="6" t="s">
        <v>18</v>
      </c>
    </row>
    <row r="68" spans="1:10" ht="75" customHeight="1" x14ac:dyDescent="0.35">
      <c r="A68" s="11" t="s">
        <v>401</v>
      </c>
      <c r="B68" s="12" t="s">
        <v>396</v>
      </c>
      <c r="C68" s="15" t="s">
        <v>402</v>
      </c>
      <c r="D68" s="15" t="s">
        <v>403</v>
      </c>
      <c r="E68" s="15" t="s">
        <v>404</v>
      </c>
      <c r="F68" s="15" t="s">
        <v>405</v>
      </c>
      <c r="G68" s="15" t="s">
        <v>406</v>
      </c>
      <c r="H68" s="15" t="s">
        <v>469</v>
      </c>
      <c r="I68" s="16" t="s">
        <v>15</v>
      </c>
      <c r="J68" s="6" t="s">
        <v>18</v>
      </c>
    </row>
    <row r="69" spans="1:10" ht="75" customHeight="1" x14ac:dyDescent="0.35">
      <c r="A69" s="11" t="s">
        <v>407</v>
      </c>
      <c r="B69" s="12" t="s">
        <v>396</v>
      </c>
      <c r="C69" s="13" t="s">
        <v>408</v>
      </c>
      <c r="D69" s="13" t="s">
        <v>409</v>
      </c>
      <c r="E69" s="13" t="s">
        <v>410</v>
      </c>
      <c r="F69" s="13" t="s">
        <v>411</v>
      </c>
      <c r="G69" s="13" t="s">
        <v>412</v>
      </c>
      <c r="H69" s="13" t="s">
        <v>470</v>
      </c>
      <c r="I69" s="16" t="s">
        <v>15</v>
      </c>
      <c r="J69" s="6" t="s">
        <v>18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topLeftCell="A9" workbookViewId="0">
      <selection activeCell="C3" sqref="C3:C17"/>
    </sheetView>
  </sheetViews>
  <sheetFormatPr defaultRowHeight="14.5" x14ac:dyDescent="0.35"/>
  <cols>
    <col min="1" max="1" width="28" customWidth="1"/>
    <col min="2" max="5" width="18" customWidth="1"/>
  </cols>
  <sheetData>
    <row r="1" spans="1:5" ht="35" customHeight="1" x14ac:dyDescent="0.35">
      <c r="A1" s="31" t="s">
        <v>413</v>
      </c>
      <c r="B1" s="27"/>
      <c r="C1" s="27"/>
      <c r="D1" s="27"/>
      <c r="E1" s="27"/>
    </row>
    <row r="2" spans="1:5" ht="25" customHeight="1" x14ac:dyDescent="0.35">
      <c r="A2" s="18" t="s">
        <v>24</v>
      </c>
      <c r="B2" s="18" t="s">
        <v>12</v>
      </c>
      <c r="C2" s="18" t="s">
        <v>18</v>
      </c>
      <c r="D2" s="18" t="s">
        <v>19</v>
      </c>
      <c r="E2" s="18" t="s">
        <v>20</v>
      </c>
    </row>
    <row r="3" spans="1:5" ht="22" customHeight="1" x14ac:dyDescent="0.35">
      <c r="A3" s="19" t="s">
        <v>34</v>
      </c>
      <c r="B3" s="20">
        <v>2</v>
      </c>
      <c r="C3" s="20">
        <v>2</v>
      </c>
      <c r="D3" s="20">
        <v>0</v>
      </c>
      <c r="E3" s="20">
        <v>0</v>
      </c>
    </row>
    <row r="4" spans="1:5" ht="22" customHeight="1" x14ac:dyDescent="0.35">
      <c r="A4" s="21" t="s">
        <v>46</v>
      </c>
      <c r="B4" s="22">
        <v>8</v>
      </c>
      <c r="C4" s="22">
        <v>8</v>
      </c>
      <c r="D4" s="22">
        <v>0</v>
      </c>
      <c r="E4" s="22">
        <v>0</v>
      </c>
    </row>
    <row r="5" spans="1:5" ht="22" customHeight="1" x14ac:dyDescent="0.35">
      <c r="A5" s="19" t="s">
        <v>91</v>
      </c>
      <c r="B5" s="20">
        <v>5</v>
      </c>
      <c r="C5" s="20">
        <v>5</v>
      </c>
      <c r="D5" s="20">
        <v>0</v>
      </c>
      <c r="E5" s="20">
        <v>0</v>
      </c>
    </row>
    <row r="6" spans="1:5" ht="22" customHeight="1" x14ac:dyDescent="0.35">
      <c r="A6" s="21" t="s">
        <v>119</v>
      </c>
      <c r="B6" s="22">
        <v>5</v>
      </c>
      <c r="C6" s="22">
        <v>5</v>
      </c>
      <c r="D6" s="22">
        <v>0</v>
      </c>
      <c r="E6" s="22">
        <v>0</v>
      </c>
    </row>
    <row r="7" spans="1:5" ht="22" customHeight="1" x14ac:dyDescent="0.35">
      <c r="A7" s="19" t="s">
        <v>150</v>
      </c>
      <c r="B7" s="20">
        <v>4</v>
      </c>
      <c r="C7" s="20">
        <v>4</v>
      </c>
      <c r="D7" s="20">
        <v>0</v>
      </c>
      <c r="E7" s="20">
        <v>0</v>
      </c>
    </row>
    <row r="8" spans="1:5" ht="22" customHeight="1" x14ac:dyDescent="0.35">
      <c r="A8" s="21" t="s">
        <v>173</v>
      </c>
      <c r="B8" s="22">
        <v>6</v>
      </c>
      <c r="C8" s="22">
        <v>6</v>
      </c>
      <c r="D8" s="22">
        <v>0</v>
      </c>
      <c r="E8" s="22">
        <v>0</v>
      </c>
    </row>
    <row r="9" spans="1:5" ht="22" customHeight="1" x14ac:dyDescent="0.35">
      <c r="A9" s="19" t="s">
        <v>209</v>
      </c>
      <c r="B9" s="20">
        <v>4</v>
      </c>
      <c r="C9" s="20">
        <v>4</v>
      </c>
      <c r="D9" s="20">
        <v>0</v>
      </c>
      <c r="E9" s="20">
        <v>0</v>
      </c>
    </row>
    <row r="10" spans="1:5" ht="22" customHeight="1" x14ac:dyDescent="0.35">
      <c r="A10" s="21" t="s">
        <v>232</v>
      </c>
      <c r="B10" s="22">
        <v>6</v>
      </c>
      <c r="C10" s="22">
        <v>6</v>
      </c>
      <c r="D10" s="22">
        <v>0</v>
      </c>
      <c r="E10" s="22">
        <v>0</v>
      </c>
    </row>
    <row r="11" spans="1:5" ht="22" customHeight="1" x14ac:dyDescent="0.35">
      <c r="A11" s="19" t="s">
        <v>266</v>
      </c>
      <c r="B11" s="20">
        <v>6</v>
      </c>
      <c r="C11" s="20">
        <v>6</v>
      </c>
      <c r="D11" s="20">
        <v>0</v>
      </c>
      <c r="E11" s="20">
        <v>0</v>
      </c>
    </row>
    <row r="12" spans="1:5" ht="22" customHeight="1" x14ac:dyDescent="0.35">
      <c r="A12" s="21" t="s">
        <v>301</v>
      </c>
      <c r="B12" s="22">
        <v>4</v>
      </c>
      <c r="C12" s="22">
        <v>4</v>
      </c>
      <c r="D12" s="22">
        <v>0</v>
      </c>
      <c r="E12" s="22">
        <v>0</v>
      </c>
    </row>
    <row r="13" spans="1:5" ht="22" customHeight="1" x14ac:dyDescent="0.35">
      <c r="A13" s="19" t="s">
        <v>323</v>
      </c>
      <c r="B13" s="20">
        <v>5</v>
      </c>
      <c r="C13" s="20">
        <v>5</v>
      </c>
      <c r="D13" s="20">
        <v>0</v>
      </c>
      <c r="E13" s="20">
        <v>0</v>
      </c>
    </row>
    <row r="14" spans="1:5" ht="22" customHeight="1" x14ac:dyDescent="0.35">
      <c r="A14" s="21" t="s">
        <v>349</v>
      </c>
      <c r="B14" s="22">
        <v>5</v>
      </c>
      <c r="C14" s="22">
        <v>5</v>
      </c>
      <c r="D14" s="22">
        <v>0</v>
      </c>
      <c r="E14" s="22">
        <v>0</v>
      </c>
    </row>
    <row r="15" spans="1:5" ht="22" customHeight="1" x14ac:dyDescent="0.35">
      <c r="A15" s="19" t="s">
        <v>375</v>
      </c>
      <c r="B15" s="20">
        <v>4</v>
      </c>
      <c r="C15" s="20">
        <v>4</v>
      </c>
      <c r="D15" s="20">
        <v>0</v>
      </c>
      <c r="E15" s="20">
        <v>0</v>
      </c>
    </row>
    <row r="16" spans="1:5" ht="22" customHeight="1" x14ac:dyDescent="0.35">
      <c r="A16" s="21" t="s">
        <v>396</v>
      </c>
      <c r="B16" s="22">
        <v>3</v>
      </c>
      <c r="C16" s="22">
        <v>3</v>
      </c>
      <c r="D16" s="22">
        <v>0</v>
      </c>
      <c r="E16" s="22">
        <v>0</v>
      </c>
    </row>
    <row r="17" spans="1:5" ht="25" customHeight="1" x14ac:dyDescent="0.35">
      <c r="A17" s="23" t="s">
        <v>414</v>
      </c>
      <c r="B17" s="23">
        <f>SUM(B3:B16)</f>
        <v>67</v>
      </c>
      <c r="C17" s="23">
        <f>SUM(C3:C16)</f>
        <v>67</v>
      </c>
      <c r="D17" s="23">
        <f>SUM(D3:D16)</f>
        <v>0</v>
      </c>
      <c r="E17" s="23">
        <f>SUM(E3:E16)</f>
        <v>0</v>
      </c>
    </row>
    <row r="19" spans="1:5" x14ac:dyDescent="0.35">
      <c r="A19" s="24" t="s">
        <v>415</v>
      </c>
    </row>
    <row r="20" spans="1:5" x14ac:dyDescent="0.35">
      <c r="A20" s="25" t="s">
        <v>416</v>
      </c>
    </row>
    <row r="21" spans="1:5" x14ac:dyDescent="0.35">
      <c r="A21" s="25" t="s">
        <v>417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Donia Tarek</cp:lastModifiedBy>
  <dcterms:created xsi:type="dcterms:W3CDTF">2026-05-11T07:32:15Z</dcterms:created>
  <dcterms:modified xsi:type="dcterms:W3CDTF">2026-05-11T07:48:31Z</dcterms:modified>
</cp:coreProperties>
</file>